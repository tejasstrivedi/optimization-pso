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1ba2c0c3b42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umer_Data" sheetId="1" r:id="R1b57c7392ee24c43"/>
    <x:sheet xmlns:r="http://schemas.openxmlformats.org/officeDocument/2006/relationships" name="DT_Master" sheetId="2" r:id="Redfab12cb8a04816"/>
    <x:sheet xmlns:r="http://schemas.openxmlformats.org/officeDocument/2006/relationships" name="Baseline_Summary" sheetId="3" r:id="Re49e32575e5b412e"/>
    <x:sheet xmlns:r="http://schemas.openxmlformats.org/officeDocument/2006/relationships" name="Assumptions" sheetId="4" r:id="R328a0e74a7674b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2acc4467d54c7d" /><Relationship Type="http://schemas.openxmlformats.org/officeDocument/2006/relationships/theme" Target="/xl/theme/theme1.xml" Id="R33b567f0c2b24167" /><Relationship Type="http://schemas.openxmlformats.org/officeDocument/2006/relationships/sharedStrings" Target="/xl/sharedStrings.xml" Id="Rede932cd288548fe" /><Relationship Type="http://schemas.openxmlformats.org/officeDocument/2006/relationships/worksheet" Target="/xl/worksheets/sheet1.xml" Id="R1b57c7392ee24c43" /><Relationship Type="http://schemas.openxmlformats.org/officeDocument/2006/relationships/worksheet" Target="/xl/worksheets/sheet2.xml" Id="Redfab12cb8a04816" /><Relationship Type="http://schemas.openxmlformats.org/officeDocument/2006/relationships/worksheet" Target="/xl/worksheets/sheet3.xml" Id="Re49e32575e5b412e" /><Relationship Type="http://schemas.openxmlformats.org/officeDocument/2006/relationships/worksheet" Target="/xl/worksheets/sheet4.xml" Id="R328a0e74a7674b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35ab4d4567442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Baseline Peak-Import DT Loading (%)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Capacity_kVA</c:v>
          </c:tx>
          <c:cat>
            <c:strRef>
              <c:f>'Baseline_Summary'!$A$2:$A$9</c:f>
              <c:strCache>
                <c:ptCount val="0"/>
              </c:strCache>
            </c:strRef>
          </c:cat>
          <c:val>
            <c:numRef>
              <c:f>'Baseline_Summary'!$B$2:$B$9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Peak_R_kVA</c:v>
          </c:tx>
          <c:cat>
            <c:strRef>
              <c:f>'Baseline_Summary'!$A$2:$A$9</c:f>
              <c:strCache>
                <c:ptCount val="0"/>
              </c:strCache>
            </c:strRef>
          </c:cat>
          <c:val>
            <c:numRef>
              <c:f>'Baseline_Summary'!$C$2:$C$9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Peak_Y_kVA</c:v>
          </c:tx>
          <c:cat>
            <c:strRef>
              <c:f>'Baseline_Summary'!$A$2:$A$9</c:f>
              <c:strCache>
                <c:ptCount val="0"/>
              </c:strCache>
            </c:strRef>
          </c:cat>
          <c:val>
            <c:numRef>
              <c:f>'Baseline_Summary'!$D$2:$D$9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Peak_B_kVA</c:v>
          </c:tx>
          <c:cat>
            <c:strRef>
              <c:f>'Baseline_Summary'!$A$2:$A$9</c:f>
              <c:strCache>
                <c:ptCount val="0"/>
              </c:strCache>
            </c:strRef>
          </c:cat>
          <c:val>
            <c:numRef>
              <c:f>'Baseline_Summary'!$E$2:$E$9</c:f>
              <c:numCache>
                <c:formatCode>0.00</c:formatCode>
                <c:ptCount val="0"/>
              </c:numCache>
            </c:numRef>
          </c:val>
        </c:ser>
        <c:ser>
          <c:idx val="4"/>
          <c:order val="4"/>
          <c:tx>
            <c:v>Peak_Total_kVA</c:v>
          </c:tx>
          <c:cat>
            <c:strRef>
              <c:f>'Baseline_Summary'!$A$2:$A$9</c:f>
              <c:strCache>
                <c:ptCount val="0"/>
              </c:strCache>
            </c:strRef>
          </c:cat>
          <c:val>
            <c:numRef>
              <c:f>'Baseline_Summary'!$F$2:$F$9</c:f>
              <c:numCache>
                <c:formatCode>0.00</c:formatCode>
                <c:ptCount val="0"/>
              </c:numCache>
            </c:numRef>
          </c:val>
        </c:ser>
        <c:ser>
          <c:idx val="5"/>
          <c:order val="5"/>
          <c:tx>
            <c:v>Peak_Load_%</c:v>
          </c:tx>
          <c:cat>
            <c:strRef>
              <c:f>'Baseline_Summary'!$A$2:$A$9</c:f>
              <c:strCache>
                <c:ptCount val="0"/>
              </c:strCache>
            </c:strRef>
          </c:cat>
          <c:val>
            <c:numRef>
              <c:f>'Baseline_Summary'!$G$2:$G$9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20</xdr:col>
      <xdr:colOff>0</xdr:colOff>
      <xdr:row>1</xdr:row>
      <xdr:rowOff>0</xdr:rowOff>
    </xdr:from>
    <xdr:to>
      <xdr:col>29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35ab4d4567442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nsumerDataTable" displayName="ConsumerDataTable" ref="A1:AO141" headerRowCount="1" totalsRowCount="0" totalsRowShown="0">
  <x:tableColumns count="41">
    <x:tableColumn id="1" name="Consumer_ID"/>
    <x:tableColumn id="2" name="Existing_DT"/>
    <x:tableColumn id="3" name="Consumer_Category"/>
    <x:tableColumn id="4" name="Contracted_Load_kW"/>
    <x:tableColumn id="5" name="Utilization_Factor"/>
    <x:tableColumn id="6" name="Max_Import_Demand_kW"/>
    <x:tableColumn id="7" name="Power_Factor"/>
    <x:tableColumn id="8" name="Max_Import_Demand_kVA"/>
    <x:tableColumn id="9" name="Coincidence_Factor"/>
    <x:tableColumn id="10" name="Peak_Import_P_kW"/>
    <x:tableColumn id="11" name="Peak_Import_Q_kVAr"/>
    <x:tableColumn id="12" name="Peak_Import_S_kVA"/>
    <x:tableColumn id="13" name="Connection_Type"/>
    <x:tableColumn id="14" name="Existing_Phase"/>
    <x:tableColumn id="15" name="Solar_Status"/>
    <x:tableColumn id="16" name="Solar_Capacity_kW"/>
    <x:tableColumn id="17" name="Daytime_Demand_Factor"/>
    <x:tableColumn id="18" name="Solar_Output_Factor"/>
    <x:tableColumn id="19" name="Daytime_Load_kW"/>
    <x:tableColumn id="20" name="PV_Output_kW"/>
    <x:tableColumn id="21" name="Net_Day_P_kW"/>
    <x:tableColumn id="22" name="Day_Q_kVAr"/>
    <x:tableColumn id="23" name="Net_Day_S_kVA"/>
    <x:tableColumn id="24" name="Transferable"/>
    <x:tableColumn id="25" name="Alternate_DT_1"/>
    <x:tableColumn id="26" name="Alt1_Distance_m"/>
    <x:tableColumn id="27" name="Alternate_DT_2"/>
    <x:tableColumn id="28" name="Alt2_Distance_m"/>
    <x:tableColumn id="29" name="Phase_Change_Allowed"/>
    <x:tableColumn id="30" name="Peak_P_R"/>
    <x:tableColumn id="31" name="Peak_Q_R"/>
    <x:tableColumn id="32" name="Peak_P_Y"/>
    <x:tableColumn id="33" name="Peak_Q_Y"/>
    <x:tableColumn id="34" name="Peak_P_B"/>
    <x:tableColumn id="35" name="Peak_Q_B"/>
    <x:tableColumn id="36" name="Day_P_R"/>
    <x:tableColumn id="37" name="Day_Q_R"/>
    <x:tableColumn id="38" name="Day_P_Y"/>
    <x:tableColumn id="39" name="Day_Q_Y"/>
    <x:tableColumn id="40" name="Day_P_B"/>
    <x:tableColumn id="41" name="Day_Q_B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TMasterTable" displayName="DTMasterTable" ref="A1:F9" headerRowCount="1" totalsRowCount="0" totalsRowShown="0">
  <x:tableColumns count="6">
    <x:tableColumn id="1" name="DT"/>
    <x:tableColumn id="2" name="Capacity_kVA"/>
    <x:tableColumn id="3" name="Neighbour_1"/>
    <x:tableColumn id="4" name="Neighbour_2"/>
    <x:tableColumn id="5" name="Neighbour_3"/>
    <x:tableColumn id="6" name="Neighbour_4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selineSummaryTable" displayName="BaselineSummaryTable" ref="A1:S9" headerRowCount="1" totalsRowCount="0" totalsRowShown="0">
  <x:tableColumns count="19">
    <x:tableColumn id="1" name="DT"/>
    <x:tableColumn id="2" name="Capacity_kVA"/>
    <x:tableColumn id="3" name="Peak_R_kVA"/>
    <x:tableColumn id="4" name="Peak_Y_kVA"/>
    <x:tableColumn id="5" name="Peak_B_kVA"/>
    <x:tableColumn id="6" name="Peak_Total_kVA"/>
    <x:tableColumn id="7" name="Peak_Load_%"/>
    <x:tableColumn id="8" name="Peak_Phase_Imbalance_%"/>
    <x:tableColumn id="9" name="Peak_Max_Phase_Load_%"/>
    <x:tableColumn id="10" name="Peak_Headroom_Penalty"/>
    <x:tableColumn id="11" name="Solar_R_kVA"/>
    <x:tableColumn id="12" name="Solar_Y_kVA"/>
    <x:tableColumn id="13" name="Solar_B_kVA"/>
    <x:tableColumn id="14" name="Solar_Total_kVA"/>
    <x:tableColumn id="15" name="Solar_Load_%"/>
    <x:tableColumn id="16" name="Solar_Phase_Imbalance_%"/>
    <x:tableColumn id="17" name="Solar_Net_P_kW"/>
    <x:tableColumn id="18" name="Reverse_Flow"/>
    <x:tableColumn id="19" name="Solar_Headroom_Penal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5288f8cf8e4a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4c1667ccc641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a9853b5ea3d46ee" /><Relationship Type="http://schemas.openxmlformats.org/officeDocument/2006/relationships/table" Target="/xl/tables/table3.xml" Id="Re0e4357ce43142d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  <x:col min="14" max="14" width="18" hidden="0" customWidth="1"/>
    <x:col min="15" max="15" width="18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8" hidden="0" customWidth="1"/>
    <x:col min="25" max="25" width="18" hidden="0" customWidth="1"/>
    <x:col min="26" max="26" width="14" hidden="0" customWidth="1"/>
    <x:col min="27" max="27" width="18" hidden="0" customWidth="1"/>
    <x:col min="28" max="28" width="14" hidden="0" customWidth="1"/>
    <x:col min="29" max="29" width="18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</x:cols>
  <x:sheetData>
    <x:row r="1">
      <x:c r="A1" s="12" t="str">
        <x:v>Consumer_ID</x:v>
      </x:c>
      <x:c r="B1" s="12" t="str">
        <x:v>Existing_DT</x:v>
      </x:c>
      <x:c r="C1" s="12" t="str">
        <x:v>Consumer_Category</x:v>
      </x:c>
      <x:c r="D1" s="12" t="str">
        <x:v>Contracted_Load_kW</x:v>
      </x:c>
      <x:c r="E1" s="12" t="str">
        <x:v>Utilization_Factor</x:v>
      </x:c>
      <x:c r="F1" s="12" t="str">
        <x:v>Max_Import_Demand_kW</x:v>
      </x:c>
      <x:c r="G1" s="12" t="str">
        <x:v>Power_Factor</x:v>
      </x:c>
      <x:c r="H1" s="12" t="str">
        <x:v>Max_Import_Demand_kVA</x:v>
      </x:c>
      <x:c r="I1" s="12" t="str">
        <x:v>Coincidence_Factor</x:v>
      </x:c>
      <x:c r="J1" s="12" t="str">
        <x:v>Peak_Import_P_kW</x:v>
      </x:c>
      <x:c r="K1" s="12" t="str">
        <x:v>Peak_Import_Q_kVAr</x:v>
      </x:c>
      <x:c r="L1" s="12" t="str">
        <x:v>Peak_Import_S_kVA</x:v>
      </x:c>
      <x:c r="M1" s="12" t="str">
        <x:v>Connection_Type</x:v>
      </x:c>
      <x:c r="N1" s="12" t="str">
        <x:v>Existing_Phase</x:v>
      </x:c>
      <x:c r="O1" s="12" t="str">
        <x:v>Solar_Status</x:v>
      </x:c>
      <x:c r="P1" s="12" t="str">
        <x:v>Solar_Capacity_kW</x:v>
      </x:c>
      <x:c r="Q1" s="12" t="str">
        <x:v>Daytime_Demand_Factor</x:v>
      </x:c>
      <x:c r="R1" s="12" t="str">
        <x:v>Solar_Output_Factor</x:v>
      </x:c>
      <x:c r="S1" s="12" t="str">
        <x:v>Daytime_Load_kW</x:v>
      </x:c>
      <x:c r="T1" s="12" t="str">
        <x:v>PV_Output_kW</x:v>
      </x:c>
      <x:c r="U1" s="12" t="str">
        <x:v>Net_Day_P_kW</x:v>
      </x:c>
      <x:c r="V1" s="12" t="str">
        <x:v>Day_Q_kVAr</x:v>
      </x:c>
      <x:c r="W1" s="12" t="str">
        <x:v>Net_Day_S_kVA</x:v>
      </x:c>
      <x:c r="X1" s="12" t="str">
        <x:v>Transferable</x:v>
      </x:c>
      <x:c r="Y1" s="12" t="str">
        <x:v>Alternate_DT_1</x:v>
      </x:c>
      <x:c r="Z1" s="12" t="str">
        <x:v>Alt1_Distance_m</x:v>
      </x:c>
      <x:c r="AA1" s="12" t="str">
        <x:v>Alternate_DT_2</x:v>
      </x:c>
      <x:c r="AB1" s="12" t="str">
        <x:v>Alt2_Distance_m</x:v>
      </x:c>
      <x:c r="AC1" s="12" t="str">
        <x:v>Phase_Change_Allowed</x:v>
      </x:c>
      <x:c r="AD1" s="12" t="str">
        <x:v>Peak_P_R</x:v>
      </x:c>
      <x:c r="AE1" s="12" t="str">
        <x:v>Peak_Q_R</x:v>
      </x:c>
      <x:c r="AF1" s="12" t="str">
        <x:v>Peak_P_Y</x:v>
      </x:c>
      <x:c r="AG1" s="12" t="str">
        <x:v>Peak_Q_Y</x:v>
      </x:c>
      <x:c r="AH1" s="12" t="str">
        <x:v>Peak_P_B</x:v>
      </x:c>
      <x:c r="AI1" s="12" t="str">
        <x:v>Peak_Q_B</x:v>
      </x:c>
      <x:c r="AJ1" s="12" t="str">
        <x:v>Day_P_R</x:v>
      </x:c>
      <x:c r="AK1" s="12" t="str">
        <x:v>Day_Q_R</x:v>
      </x:c>
      <x:c r="AL1" s="12" t="str">
        <x:v>Day_P_Y</x:v>
      </x:c>
      <x:c r="AM1" s="12" t="str">
        <x:v>Day_Q_Y</x:v>
      </x:c>
      <x:c r="AN1" s="12" t="str">
        <x:v>Day_P_B</x:v>
      </x:c>
      <x:c r="AO1" s="12" t="str">
        <x:v>Day_Q_B</x:v>
      </x:c>
    </x:row>
    <x:row r="2">
      <x:c r="A2" s="13" t="str">
        <x:v>C0001</x:v>
      </x:c>
      <x:c r="B2" s="13" t="str">
        <x:v>DT-1</x:v>
      </x:c>
      <x:c r="C2" s="13" t="str">
        <x:v>Residential</x:v>
      </x:c>
      <x:c r="D2" s="16" t="n">
        <x:v>6</x:v>
      </x:c>
      <x:c r="E2" s="16" t="n">
        <x:v>0.415</x:v>
      </x:c>
      <x:c r="F2" s="16" t="n">
        <x:f>D2*E2</x:f>
        <x:v>2.4899999999999998</x:v>
      </x:c>
      <x:c r="G2" s="16" t="n">
        <x:v>0.978</x:v>
      </x:c>
      <x:c r="H2" s="16" t="n">
        <x:f>F2/G2</x:f>
        <x:v>2.5460122699386503</x:v>
      </x:c>
      <x:c r="I2" s="16" t="n">
        <x:v>0.78</x:v>
      </x:c>
      <x:c r="J2" s="16" t="n">
        <x:f>F2*I2</x:f>
        <x:v>1.9422</x:v>
      </x:c>
      <x:c r="K2" s="16" t="n">
        <x:f>J2*TAN(ACOS(G2))</x:f>
        <x:v>0.4142662747892857</x:v>
      </x:c>
      <x:c r="L2" s="16" t="n">
        <x:f>SQRT(J2^2+K2^2)</x:f>
        <x:v>1.9858895705521473</x:v>
      </x:c>
      <x:c r="M2" s="16" t="str">
        <x:v>Single Phase</x:v>
      </x:c>
      <x:c r="N2" s="16" t="str">
        <x:v>R</x:v>
      </x:c>
      <x:c r="O2" s="16" t="str">
        <x:v>No</x:v>
      </x:c>
      <x:c r="P2" s="16" t="n">
        <x:v>0</x:v>
      </x:c>
      <x:c r="Q2" s="16" t="n">
        <x:v>0.289</x:v>
      </x:c>
      <x:c r="R2" s="16" t="n">
        <x:v>0</x:v>
      </x:c>
      <x:c r="S2" s="16" t="n">
        <x:f>F2*Q2</x:f>
        <x:v>0.7196099999999999</x:v>
      </x:c>
      <x:c r="T2" s="16" t="n">
        <x:f>IF(O2="Yes",P2*R2,0)</x:f>
        <x:v>0</x:v>
      </x:c>
      <x:c r="U2" s="16" t="n">
        <x:f>S2-T2</x:f>
        <x:v>0.7196099999999999</x:v>
      </x:c>
      <x:c r="V2" s="16" t="n">
        <x:f>S2*TAN(ACOS(G2))</x:f>
        <x:v>0.15349096591551736</x:v>
      </x:c>
      <x:c r="W2" s="16" t="n">
        <x:f>SQRT(U2^2+V2^2)</x:f>
        <x:v>0.7357975460122699</x:v>
      </x:c>
      <x:c r="X2" s="13" t="str">
        <x:v>No</x:v>
      </x:c>
      <x:c r="Y2" s="13" t="str"/>
      <x:c r="Z2" s="18" t="str"/>
      <x:c r="AA2" s="13" t="str"/>
      <x:c r="AB2" s="18" t="str"/>
      <x:c r="AC2" s="13" t="str">
        <x:v>No</x:v>
      </x:c>
      <x:c r="AD2" s="16" t="n">
        <x:f>IF(M2="Three Phase",J2/3,IF(N2="R",J2,0))</x:f>
        <x:v>1.9422</x:v>
      </x:c>
      <x:c r="AE2" s="16" t="n">
        <x:f>IF(M2="Three Phase",K2/3,IF(N2="R",K2,0))</x:f>
        <x:v>0.4142662747892857</x:v>
      </x:c>
      <x:c r="AF2" s="16" t="n">
        <x:f>IF(M2="Three Phase",J2/3,IF(N2="Y",J2,0))</x:f>
        <x:v>0</x:v>
      </x:c>
      <x:c r="AG2" s="16" t="n">
        <x:f>IF(M2="Three Phase",K2/3,IF(N2="Y",K2,0))</x:f>
        <x:v>0</x:v>
      </x:c>
      <x:c r="AH2" s="16" t="n">
        <x:f>IF(M2="Three Phase",J2/3,IF(N2="B",J2,0))</x:f>
        <x:v>0</x:v>
      </x:c>
      <x:c r="AI2" s="16" t="n">
        <x:f>IF(M2="Three Phase",K2/3,IF(N2="B",K2,0))</x:f>
        <x:v>0</x:v>
      </x:c>
      <x:c r="AJ2" s="16" t="n">
        <x:f>IF(M2="Three Phase",U2/3,IF(N2="R",U2,0))</x:f>
        <x:v>0.7196099999999999</x:v>
      </x:c>
      <x:c r="AK2" s="16" t="n">
        <x:f>IF(M2="Three Phase",V2/3,IF(N2="R",V2,0))</x:f>
        <x:v>0.15349096591551736</x:v>
      </x:c>
      <x:c r="AL2" s="16" t="n">
        <x:f>IF(M2="Three Phase",U2/3,IF(N2="Y",U2,0))</x:f>
        <x:v>0</x:v>
      </x:c>
      <x:c r="AM2" s="16" t="n">
        <x:f>IF(M2="Three Phase",V2/3,IF(N2="Y",V2,0))</x:f>
        <x:v>0</x:v>
      </x:c>
      <x:c r="AN2" s="16" t="n">
        <x:f>IF(M2="Three Phase",U2/3,IF(N2="B",U2,0))</x:f>
        <x:v>0</x:v>
      </x:c>
      <x:c r="AO2" s="16" t="n">
        <x:f>IF(M2="Three Phase",V2/3,IF(N2="B",V2,0))</x:f>
        <x:v>0</x:v>
      </x:c>
    </x:row>
    <x:row r="3">
      <x:c r="A3" s="13" t="str">
        <x:v>C0002</x:v>
      </x:c>
      <x:c r="B3" s="13" t="str">
        <x:v>DT-1</x:v>
      </x:c>
      <x:c r="C3" s="13" t="str">
        <x:v>Residential</x:v>
      </x:c>
      <x:c r="D3" s="16" t="n">
        <x:v>6.5</x:v>
      </x:c>
      <x:c r="E3" s="16" t="n">
        <x:v>0.59</x:v>
      </x:c>
      <x:c r="F3" s="16" t="n">
        <x:f>D3*E3</x:f>
        <x:v>3.835</x:v>
      </x:c>
      <x:c r="G3" s="16" t="n">
        <x:v>0.985</x:v>
      </x:c>
      <x:c r="H3" s="16" t="n">
        <x:f>F3/G3</x:f>
        <x:v>3.8934010152284264</x:v>
      </x:c>
      <x:c r="I3" s="16" t="n">
        <x:v>0.911</x:v>
      </x:c>
      <x:c r="J3" s="16" t="n">
        <x:f>F3*I3</x:f>
        <x:v>3.493685</x:v>
      </x:c>
      <x:c r="K3" s="16" t="n">
        <x:f>J3*TAN(ACOS(G3))</x:f>
        <x:v>0.6120309713536403</x:v>
      </x:c>
      <x:c r="L3" s="16" t="n">
        <x:f>SQRT(J3^2+K3^2)</x:f>
        <x:v>3.546888324873097</x:v>
      </x:c>
      <x:c r="M3" s="16" t="str">
        <x:v>Three Phase</x:v>
      </x:c>
      <x:c r="N3" s="16" t="str">
        <x:v>RYB</x:v>
      </x:c>
      <x:c r="O3" s="16" t="str">
        <x:v>No</x:v>
      </x:c>
      <x:c r="P3" s="16" t="n">
        <x:v>0</x:v>
      </x:c>
      <x:c r="Q3" s="16" t="n">
        <x:v>0.328</x:v>
      </x:c>
      <x:c r="R3" s="16" t="n">
        <x:v>0</x:v>
      </x:c>
      <x:c r="S3" s="16" t="n">
        <x:f>F3*Q3</x:f>
        <x:v>1.25788</x:v>
      </x:c>
      <x:c r="T3" s="16" t="n">
        <x:f>IF(O3="Yes",P3*R3,0)</x:f>
        <x:v>0</x:v>
      </x:c>
      <x:c r="U3" s="16" t="n">
        <x:f>S3-T3</x:f>
        <x:v>1.25788</x:v>
      </x:c>
      <x:c r="V3" s="16" t="n">
        <x:f>S3*TAN(ACOS(G3))</x:f>
        <x:v>0.22035802261689794</x:v>
      </x:c>
      <x:c r="W3" s="16" t="n">
        <x:f>SQRT(U3^2+V3^2)</x:f>
        <x:v>1.2770355329949241</x:v>
      </x:c>
      <x:c r="X3" s="13" t="str">
        <x:v>Yes</x:v>
      </x:c>
      <x:c r="Y3" s="13" t="str">
        <x:v>DT-4</x:v>
      </x:c>
      <x:c r="Z3" s="18" t="n">
        <x:v>42</x:v>
      </x:c>
      <x:c r="AA3" s="13" t="str"/>
      <x:c r="AB3" s="18" t="str"/>
      <x:c r="AC3" s="13" t="str">
        <x:v>No</x:v>
      </x:c>
      <x:c r="AD3" s="16" t="n">
        <x:f>IF(M3="Three Phase",J3/3,IF(N3="R",J3,0))</x:f>
        <x:v>1.1645616666666667</x:v>
      </x:c>
      <x:c r="AE3" s="16" t="n">
        <x:f>IF(M3="Three Phase",K3/3,IF(N3="R",K3,0))</x:f>
        <x:v>0.20401032378454675</x:v>
      </x:c>
      <x:c r="AF3" s="16" t="n">
        <x:f>IF(M3="Three Phase",J3/3,IF(N3="Y",J3,0))</x:f>
        <x:v>1.1645616666666667</x:v>
      </x:c>
      <x:c r="AG3" s="16" t="n">
        <x:f>IF(M3="Three Phase",K3/3,IF(N3="Y",K3,0))</x:f>
        <x:v>0.20401032378454675</x:v>
      </x:c>
      <x:c r="AH3" s="16" t="n">
        <x:f>IF(M3="Three Phase",J3/3,IF(N3="B",J3,0))</x:f>
        <x:v>1.1645616666666667</x:v>
      </x:c>
      <x:c r="AI3" s="16" t="n">
        <x:f>IF(M3="Three Phase",K3/3,IF(N3="B",K3,0))</x:f>
        <x:v>0.20401032378454675</x:v>
      </x:c>
      <x:c r="AJ3" s="16" t="n">
        <x:f>IF(M3="Three Phase",U3/3,IF(N3="R",U3,0))</x:f>
        <x:v>0.41929333333333335</x:v>
      </x:c>
      <x:c r="AK3" s="16" t="n">
        <x:f>IF(M3="Three Phase",V3/3,IF(N3="R",V3,0))</x:f>
        <x:v>0.07345267420563265</x:v>
      </x:c>
      <x:c r="AL3" s="16" t="n">
        <x:f>IF(M3="Three Phase",U3/3,IF(N3="Y",U3,0))</x:f>
        <x:v>0.41929333333333335</x:v>
      </x:c>
      <x:c r="AM3" s="16" t="n">
        <x:f>IF(M3="Three Phase",V3/3,IF(N3="Y",V3,0))</x:f>
        <x:v>0.07345267420563265</x:v>
      </x:c>
      <x:c r="AN3" s="16" t="n">
        <x:f>IF(M3="Three Phase",U3/3,IF(N3="B",U3,0))</x:f>
        <x:v>0.41929333333333335</x:v>
      </x:c>
      <x:c r="AO3" s="16" t="n">
        <x:f>IF(M3="Three Phase",V3/3,IF(N3="B",V3,0))</x:f>
        <x:v>0.07345267420563265</x:v>
      </x:c>
    </x:row>
    <x:row r="4">
      <x:c r="A4" s="13" t="str">
        <x:v>C0003</x:v>
      </x:c>
      <x:c r="B4" s="13" t="str">
        <x:v>DT-1</x:v>
      </x:c>
      <x:c r="C4" s="13" t="str">
        <x:v>Residential</x:v>
      </x:c>
      <x:c r="D4" s="16" t="n">
        <x:v>4.5</x:v>
      </x:c>
      <x:c r="E4" s="16" t="n">
        <x:v>0.662</x:v>
      </x:c>
      <x:c r="F4" s="16" t="n">
        <x:f>D4*E4</x:f>
        <x:v>2.979</x:v>
      </x:c>
      <x:c r="G4" s="16" t="n">
        <x:v>0.953</x:v>
      </x:c>
      <x:c r="H4" s="16" t="n">
        <x:f>F4/G4</x:f>
        <x:v>3.12591815320042</x:v>
      </x:c>
      <x:c r="I4" s="16" t="n">
        <x:v>0.824</x:v>
      </x:c>
      <x:c r="J4" s="16" t="n">
        <x:f>F4*I4</x:f>
        <x:v>2.4546959999999998</x:v>
      </x:c>
      <x:c r="K4" s="16" t="n">
        <x:f>J4*TAN(ACOS(G4))</x:f>
        <x:v>0.7803777257749402</x:v>
      </x:c>
      <x:c r="L4" s="16" t="n">
        <x:f>SQRT(J4^2+K4^2)</x:f>
        <x:v>2.5757565582371456</x:v>
      </x:c>
      <x:c r="M4" s="16" t="str">
        <x:v>Single Phase</x:v>
      </x:c>
      <x:c r="N4" s="16" t="str">
        <x:v>R</x:v>
      </x:c>
      <x:c r="O4" s="16" t="str">
        <x:v>Yes</x:v>
      </x:c>
      <x:c r="P4" s="16" t="n">
        <x:v>5</x:v>
      </x:c>
      <x:c r="Q4" s="16" t="n">
        <x:v>0.408</x:v>
      </x:c>
      <x:c r="R4" s="16" t="n">
        <x:v>0.817</x:v>
      </x:c>
      <x:c r="S4" s="16" t="n">
        <x:f>F4*Q4</x:f>
        <x:v>1.215432</x:v>
      </x:c>
      <x:c r="T4" s="16" t="n">
        <x:f>IF(O4="Yes",P4*R4,0)</x:f>
        <x:v>4.085</x:v>
      </x:c>
      <x:c r="U4" s="16" t="n">
        <x:f>S4-T4</x:f>
        <x:v>-2.869568</x:v>
      </x:c>
      <x:c r="V4" s="16" t="n">
        <x:f>S4*TAN(ACOS(G4))</x:f>
        <x:v>0.3864006215002132</x:v>
      </x:c>
      <x:c r="W4" s="16" t="n">
        <x:f>SQRT(U4^2+V4^2)</x:f>
        <x:v>2.8954664472101475</x:v>
      </x:c>
      <x:c r="X4" s="13" t="str">
        <x:v>No</x:v>
      </x:c>
      <x:c r="Y4" s="13" t="str"/>
      <x:c r="Z4" s="18" t="str"/>
      <x:c r="AA4" s="13" t="str"/>
      <x:c r="AB4" s="18" t="str"/>
      <x:c r="AC4" s="13" t="str">
        <x:v>Yes</x:v>
      </x:c>
      <x:c r="AD4" s="16" t="n">
        <x:f>IF(M4="Three Phase",J4/3,IF(N4="R",J4,0))</x:f>
        <x:v>2.4546959999999998</x:v>
      </x:c>
      <x:c r="AE4" s="16" t="n">
        <x:f>IF(M4="Three Phase",K4/3,IF(N4="R",K4,0))</x:f>
        <x:v>0.7803777257749402</x:v>
      </x:c>
      <x:c r="AF4" s="16" t="n">
        <x:f>IF(M4="Three Phase",J4/3,IF(N4="Y",J4,0))</x:f>
        <x:v>0</x:v>
      </x:c>
      <x:c r="AG4" s="16" t="n">
        <x:f>IF(M4="Three Phase",K4/3,IF(N4="Y",K4,0))</x:f>
        <x:v>0</x:v>
      </x:c>
      <x:c r="AH4" s="16" t="n">
        <x:f>IF(M4="Three Phase",J4/3,IF(N4="B",J4,0))</x:f>
        <x:v>0</x:v>
      </x:c>
      <x:c r="AI4" s="16" t="n">
        <x:f>IF(M4="Three Phase",K4/3,IF(N4="B",K4,0))</x:f>
        <x:v>0</x:v>
      </x:c>
      <x:c r="AJ4" s="16" t="n">
        <x:f>IF(M4="Three Phase",U4/3,IF(N4="R",U4,0))</x:f>
        <x:v>-2.869568</x:v>
      </x:c>
      <x:c r="AK4" s="16" t="n">
        <x:f>IF(M4="Three Phase",V4/3,IF(N4="R",V4,0))</x:f>
        <x:v>0.3864006215002132</x:v>
      </x:c>
      <x:c r="AL4" s="16" t="n">
        <x:f>IF(M4="Three Phase",U4/3,IF(N4="Y",U4,0))</x:f>
        <x:v>0</x:v>
      </x:c>
      <x:c r="AM4" s="16" t="n">
        <x:f>IF(M4="Three Phase",V4/3,IF(N4="Y",V4,0))</x:f>
        <x:v>0</x:v>
      </x:c>
      <x:c r="AN4" s="16" t="n">
        <x:f>IF(M4="Three Phase",U4/3,IF(N4="B",U4,0))</x:f>
        <x:v>0</x:v>
      </x:c>
      <x:c r="AO4" s="16" t="n">
        <x:f>IF(M4="Three Phase",V4/3,IF(N4="B",V4,0))</x:f>
        <x:v>0</x:v>
      </x:c>
    </x:row>
    <x:row r="5">
      <x:c r="A5" s="13" t="str">
        <x:v>C0004</x:v>
      </x:c>
      <x:c r="B5" s="13" t="str">
        <x:v>DT-1</x:v>
      </x:c>
      <x:c r="C5" s="13" t="str">
        <x:v>Residential</x:v>
      </x:c>
      <x:c r="D5" s="16" t="n">
        <x:v>5</x:v>
      </x:c>
      <x:c r="E5" s="16" t="n">
        <x:v>0.745</x:v>
      </x:c>
      <x:c r="F5" s="16" t="n">
        <x:f>D5*E5</x:f>
        <x:v>3.725</x:v>
      </x:c>
      <x:c r="G5" s="16" t="n">
        <x:v>0.904</x:v>
      </x:c>
      <x:c r="H5" s="16" t="n">
        <x:f>F5/G5</x:f>
        <x:v>4.120575221238938</x:v>
      </x:c>
      <x:c r="I5" s="16" t="n">
        <x:v>0.979</x:v>
      </x:c>
      <x:c r="J5" s="16" t="n">
        <x:f>F5*I5</x:f>
        <x:v>3.646775</x:v>
      </x:c>
      <x:c r="K5" s="16" t="n">
        <x:f>J5*TAN(ACOS(G5))</x:f>
        <x:v>1.7246843675316006</x:v>
      </x:c>
      <x:c r="L5" s="16" t="n">
        <x:f>SQRT(J5^2+K5^2)</x:f>
        <x:v>4.03404314159292</x:v>
      </x:c>
      <x:c r="M5" s="16" t="str">
        <x:v>Single Phase</x:v>
      </x:c>
      <x:c r="N5" s="16" t="str">
        <x:v>R</x:v>
      </x:c>
      <x:c r="O5" s="16" t="str">
        <x:v>No</x:v>
      </x:c>
      <x:c r="P5" s="16" t="n">
        <x:v>0</x:v>
      </x:c>
      <x:c r="Q5" s="16" t="n">
        <x:v>0.202</x:v>
      </x:c>
      <x:c r="R5" s="16" t="n">
        <x:v>0</x:v>
      </x:c>
      <x:c r="S5" s="16" t="n">
        <x:f>F5*Q5</x:f>
        <x:v>0.7524500000000001</x:v>
      </x:c>
      <x:c r="T5" s="16" t="n">
        <x:f>IF(O5="Yes",P5*R5,0)</x:f>
        <x:v>0</x:v>
      </x:c>
      <x:c r="U5" s="16" t="n">
        <x:f>S5-T5</x:f>
        <x:v>0.7524500000000001</x:v>
      </x:c>
      <x:c r="V5" s="16" t="n">
        <x:f>S5*TAN(ACOS(G5))</x:f>
        <x:v>0.3558592872741403</x:v>
      </x:c>
      <x:c r="W5" s="16" t="n">
        <x:f>SQRT(U5^2+V5^2)</x:f>
        <x:v>0.8323561946902656</x:v>
      </x:c>
      <x:c r="X5" s="13" t="str">
        <x:v>No</x:v>
      </x:c>
      <x:c r="Y5" s="13" t="str"/>
      <x:c r="Z5" s="18" t="str"/>
      <x:c r="AA5" s="13" t="str"/>
      <x:c r="AB5" s="18" t="str"/>
      <x:c r="AC5" s="13" t="str">
        <x:v>Yes</x:v>
      </x:c>
      <x:c r="AD5" s="16" t="n">
        <x:f>IF(M5="Three Phase",J5/3,IF(N5="R",J5,0))</x:f>
        <x:v>3.646775</x:v>
      </x:c>
      <x:c r="AE5" s="16" t="n">
        <x:f>IF(M5="Three Phase",K5/3,IF(N5="R",K5,0))</x:f>
        <x:v>1.7246843675316006</x:v>
      </x:c>
      <x:c r="AF5" s="16" t="n">
        <x:f>IF(M5="Three Phase",J5/3,IF(N5="Y",J5,0))</x:f>
        <x:v>0</x:v>
      </x:c>
      <x:c r="AG5" s="16" t="n">
        <x:f>IF(M5="Three Phase",K5/3,IF(N5="Y",K5,0))</x:f>
        <x:v>0</x:v>
      </x:c>
      <x:c r="AH5" s="16" t="n">
        <x:f>IF(M5="Three Phase",J5/3,IF(N5="B",J5,0))</x:f>
        <x:v>0</x:v>
      </x:c>
      <x:c r="AI5" s="16" t="n">
        <x:f>IF(M5="Three Phase",K5/3,IF(N5="B",K5,0))</x:f>
        <x:v>0</x:v>
      </x:c>
      <x:c r="AJ5" s="16" t="n">
        <x:f>IF(M5="Three Phase",U5/3,IF(N5="R",U5,0))</x:f>
        <x:v>0.7524500000000001</x:v>
      </x:c>
      <x:c r="AK5" s="16" t="n">
        <x:f>IF(M5="Three Phase",V5/3,IF(N5="R",V5,0))</x:f>
        <x:v>0.3558592872741403</x:v>
      </x:c>
      <x:c r="AL5" s="16" t="n">
        <x:f>IF(M5="Three Phase",U5/3,IF(N5="Y",U5,0))</x:f>
        <x:v>0</x:v>
      </x:c>
      <x:c r="AM5" s="16" t="n">
        <x:f>IF(M5="Three Phase",V5/3,IF(N5="Y",V5,0))</x:f>
        <x:v>0</x:v>
      </x:c>
      <x:c r="AN5" s="16" t="n">
        <x:f>IF(M5="Three Phase",U5/3,IF(N5="B",U5,0))</x:f>
        <x:v>0</x:v>
      </x:c>
      <x:c r="AO5" s="16" t="n">
        <x:f>IF(M5="Three Phase",V5/3,IF(N5="B",V5,0))</x:f>
        <x:v>0</x:v>
      </x:c>
    </x:row>
    <x:row r="6">
      <x:c r="A6" s="13" t="str">
        <x:v>C0005</x:v>
      </x:c>
      <x:c r="B6" s="13" t="str">
        <x:v>DT-1</x:v>
      </x:c>
      <x:c r="C6" s="13" t="str">
        <x:v>Residential</x:v>
      </x:c>
      <x:c r="D6" s="16" t="n">
        <x:v>6</x:v>
      </x:c>
      <x:c r="E6" s="16" t="n">
        <x:v>0.494</x:v>
      </x:c>
      <x:c r="F6" s="16" t="n">
        <x:f>D6*E6</x:f>
        <x:v>2.964</x:v>
      </x:c>
      <x:c r="G6" s="16" t="n">
        <x:v>0.98</x:v>
      </x:c>
      <x:c r="H6" s="16" t="n">
        <x:f>F6/G6</x:f>
        <x:v>3.024489795918367</x:v>
      </x:c>
      <x:c r="I6" s="16" t="n">
        <x:v>0.808</x:v>
      </x:c>
      <x:c r="J6" s="16" t="n">
        <x:f>F6*I6</x:f>
        <x:v>2.394912</x:v>
      </x:c>
      <x:c r="K6" s="16" t="n">
        <x:f>J6*TAN(ACOS(G6))</x:f>
        <x:v>0.4863076230563042</x:v>
      </x:c>
      <x:c r="L6" s="16" t="n">
        <x:f>SQRT(J6^2+K6^2)</x:f>
        <x:v>2.4437877551020413</x:v>
      </x:c>
      <x:c r="M6" s="16" t="str">
        <x:v>Single Phase</x:v>
      </x:c>
      <x:c r="N6" s="16" t="str">
        <x:v>B</x:v>
      </x:c>
      <x:c r="O6" s="16" t="str">
        <x:v>No</x:v>
      </x:c>
      <x:c r="P6" s="16" t="n">
        <x:v>0</x:v>
      </x:c>
      <x:c r="Q6" s="16" t="n">
        <x:v>0.237</x:v>
      </x:c>
      <x:c r="R6" s="16" t="n">
        <x:v>0</x:v>
      </x:c>
      <x:c r="S6" s="16" t="n">
        <x:f>F6*Q6</x:f>
        <x:v>0.702468</x:v>
      </x:c>
      <x:c r="T6" s="16" t="n">
        <x:f>IF(O6="Yes",P6*R6,0)</x:f>
        <x:v>0</x:v>
      </x:c>
      <x:c r="U6" s="16" t="n">
        <x:f>S6-T6</x:f>
        <x:v>0.702468</x:v>
      </x:c>
      <x:c r="V6" s="16" t="n">
        <x:f>S6*TAN(ACOS(G6))</x:f>
        <x:v>0.14264221121824763</x:v>
      </x:c>
      <x:c r="W6" s="16" t="n">
        <x:f>SQRT(U6^2+V6^2)</x:f>
        <x:v>0.7168040816326531</x:v>
      </x:c>
      <x:c r="X6" s="13" t="str">
        <x:v>Yes</x:v>
      </x:c>
      <x:c r="Y6" s="13" t="str">
        <x:v>DT-2</x:v>
      </x:c>
      <x:c r="Z6" s="18" t="n">
        <x:v>113</x:v>
      </x:c>
      <x:c r="AA6" s="13" t="str"/>
      <x:c r="AB6" s="18" t="str"/>
      <x:c r="AC6" s="13" t="str">
        <x:v>Yes</x:v>
      </x:c>
      <x:c r="AD6" s="16" t="n">
        <x:f>IF(M6="Three Phase",J6/3,IF(N6="R",J6,0))</x:f>
        <x:v>0</x:v>
      </x:c>
      <x:c r="AE6" s="16" t="n">
        <x:f>IF(M6="Three Phase",K6/3,IF(N6="R",K6,0))</x:f>
        <x:v>0</x:v>
      </x:c>
      <x:c r="AF6" s="16" t="n">
        <x:f>IF(M6="Three Phase",J6/3,IF(N6="Y",J6,0))</x:f>
        <x:v>0</x:v>
      </x:c>
      <x:c r="AG6" s="16" t="n">
        <x:f>IF(M6="Three Phase",K6/3,IF(N6="Y",K6,0))</x:f>
        <x:v>0</x:v>
      </x:c>
      <x:c r="AH6" s="16" t="n">
        <x:f>IF(M6="Three Phase",J6/3,IF(N6="B",J6,0))</x:f>
        <x:v>2.394912</x:v>
      </x:c>
      <x:c r="AI6" s="16" t="n">
        <x:f>IF(M6="Three Phase",K6/3,IF(N6="B",K6,0))</x:f>
        <x:v>0.4863076230563042</x:v>
      </x:c>
      <x:c r="AJ6" s="16" t="n">
        <x:f>IF(M6="Three Phase",U6/3,IF(N6="R",U6,0))</x:f>
        <x:v>0</x:v>
      </x:c>
      <x:c r="AK6" s="16" t="n">
        <x:f>IF(M6="Three Phase",V6/3,IF(N6="R",V6,0))</x:f>
        <x:v>0</x:v>
      </x:c>
      <x:c r="AL6" s="16" t="n">
        <x:f>IF(M6="Three Phase",U6/3,IF(N6="Y",U6,0))</x:f>
        <x:v>0</x:v>
      </x:c>
      <x:c r="AM6" s="16" t="n">
        <x:f>IF(M6="Three Phase",V6/3,IF(N6="Y",V6,0))</x:f>
        <x:v>0</x:v>
      </x:c>
      <x:c r="AN6" s="16" t="n">
        <x:f>IF(M6="Three Phase",U6/3,IF(N6="B",U6,0))</x:f>
        <x:v>0.702468</x:v>
      </x:c>
      <x:c r="AO6" s="16" t="n">
        <x:f>IF(M6="Three Phase",V6/3,IF(N6="B",V6,0))</x:f>
        <x:v>0.14264221121824763</x:v>
      </x:c>
    </x:row>
    <x:row r="7">
      <x:c r="A7" s="13" t="str">
        <x:v>C0006</x:v>
      </x:c>
      <x:c r="B7" s="13" t="str">
        <x:v>DT-1</x:v>
      </x:c>
      <x:c r="C7" s="13" t="str">
        <x:v>Residential</x:v>
      </x:c>
      <x:c r="D7" s="16" t="n">
        <x:v>4</x:v>
      </x:c>
      <x:c r="E7" s="16" t="n">
        <x:v>0.567</x:v>
      </x:c>
      <x:c r="F7" s="16" t="n">
        <x:f>D7*E7</x:f>
        <x:v>2.268</x:v>
      </x:c>
      <x:c r="G7" s="16" t="n">
        <x:v>0.983</x:v>
      </x:c>
      <x:c r="H7" s="16" t="n">
        <x:f>F7/G7</x:f>
        <x:v>2.3072227873855544</x:v>
      </x:c>
      <x:c r="I7" s="16" t="n">
        <x:v>0.839</x:v>
      </x:c>
      <x:c r="J7" s="16" t="n">
        <x:f>F7*I7</x:f>
        <x:v>1.9028519999999998</x:v>
      </x:c>
      <x:c r="K7" s="16" t="n">
        <x:f>J7*TAN(ACOS(G7))</x:f>
        <x:v>0.3554162751170548</x:v>
      </x:c>
      <x:c r="L7" s="16" t="n">
        <x:f>SQRT(J7^2+K7^2)</x:f>
        <x:v>1.93575991861648</x:v>
      </x:c>
      <x:c r="M7" s="16" t="str">
        <x:v>Single Phase</x:v>
      </x:c>
      <x:c r="N7" s="16" t="str">
        <x:v>Y</x:v>
      </x:c>
      <x:c r="O7" s="16" t="str">
        <x:v>No</x:v>
      </x:c>
      <x:c r="P7" s="16" t="n">
        <x:v>0</x:v>
      </x:c>
      <x:c r="Q7" s="16" t="n">
        <x:v>0.306</x:v>
      </x:c>
      <x:c r="R7" s="16" t="n">
        <x:v>0</x:v>
      </x:c>
      <x:c r="S7" s="16" t="n">
        <x:f>F7*Q7</x:f>
        <x:v>0.694008</x:v>
      </x:c>
      <x:c r="T7" s="16" t="n">
        <x:f>IF(O7="Yes",P7*R7,0)</x:f>
        <x:v>0</x:v>
      </x:c>
      <x:c r="U7" s="16" t="n">
        <x:f>S7-T7</x:f>
        <x:v>0.694008</x:v>
      </x:c>
      <x:c r="V7" s="16" t="n">
        <x:f>S7*TAN(ACOS(G7))</x:f>
        <x:v>0.12962738997117854</x:v>
      </x:c>
      <x:c r="W7" s="16" t="n">
        <x:f>SQRT(U7^2+V7^2)</x:f>
        <x:v>0.7060101729399797</x:v>
      </x:c>
      <x:c r="X7" s="13" t="str">
        <x:v>Yes</x:v>
      </x:c>
      <x:c r="Y7" s="13" t="str">
        <x:v>DT-4</x:v>
      </x:c>
      <x:c r="Z7" s="18" t="n">
        <x:v>73</x:v>
      </x:c>
      <x:c r="AA7" s="13" t="str"/>
      <x:c r="AB7" s="18" t="str"/>
      <x:c r="AC7" s="13" t="str">
        <x:v>Yes</x:v>
      </x:c>
      <x:c r="AD7" s="16" t="n">
        <x:f>IF(M7="Three Phase",J7/3,IF(N7="R",J7,0))</x:f>
        <x:v>0</x:v>
      </x:c>
      <x:c r="AE7" s="16" t="n">
        <x:f>IF(M7="Three Phase",K7/3,IF(N7="R",K7,0))</x:f>
        <x:v>0</x:v>
      </x:c>
      <x:c r="AF7" s="16" t="n">
        <x:f>IF(M7="Three Phase",J7/3,IF(N7="Y",J7,0))</x:f>
        <x:v>1.9028519999999998</x:v>
      </x:c>
      <x:c r="AG7" s="16" t="n">
        <x:f>IF(M7="Three Phase",K7/3,IF(N7="Y",K7,0))</x:f>
        <x:v>0.3554162751170548</x:v>
      </x:c>
      <x:c r="AH7" s="16" t="n">
        <x:f>IF(M7="Three Phase",J7/3,IF(N7="B",J7,0))</x:f>
        <x:v>0</x:v>
      </x:c>
      <x:c r="AI7" s="16" t="n">
        <x:f>IF(M7="Three Phase",K7/3,IF(N7="B",K7,0))</x:f>
        <x:v>0</x:v>
      </x:c>
      <x:c r="AJ7" s="16" t="n">
        <x:f>IF(M7="Three Phase",U7/3,IF(N7="R",U7,0))</x:f>
        <x:v>0</x:v>
      </x:c>
      <x:c r="AK7" s="16" t="n">
        <x:f>IF(M7="Three Phase",V7/3,IF(N7="R",V7,0))</x:f>
        <x:v>0</x:v>
      </x:c>
      <x:c r="AL7" s="16" t="n">
        <x:f>IF(M7="Three Phase",U7/3,IF(N7="Y",U7,0))</x:f>
        <x:v>0.694008</x:v>
      </x:c>
      <x:c r="AM7" s="16" t="n">
        <x:f>IF(M7="Three Phase",V7/3,IF(N7="Y",V7,0))</x:f>
        <x:v>0.12962738997117854</x:v>
      </x:c>
      <x:c r="AN7" s="16" t="n">
        <x:f>IF(M7="Three Phase",U7/3,IF(N7="B",U7,0))</x:f>
        <x:v>0</x:v>
      </x:c>
      <x:c r="AO7" s="16" t="n">
        <x:f>IF(M7="Three Phase",V7/3,IF(N7="B",V7,0))</x:f>
        <x:v>0</x:v>
      </x:c>
    </x:row>
    <x:row r="8">
      <x:c r="A8" s="13" t="str">
        <x:v>C0007</x:v>
      </x:c>
      <x:c r="B8" s="13" t="str">
        <x:v>DT-1</x:v>
      </x:c>
      <x:c r="C8" s="13" t="str">
        <x:v>Commercial</x:v>
      </x:c>
      <x:c r="D8" s="16" t="n">
        <x:v>6.5</x:v>
      </x:c>
      <x:c r="E8" s="16" t="n">
        <x:v>0.74</x:v>
      </x:c>
      <x:c r="F8" s="16" t="n">
        <x:f>D8*E8</x:f>
        <x:v>4.81</x:v>
      </x:c>
      <x:c r="G8" s="16" t="n">
        <x:v>0.919</x:v>
      </x:c>
      <x:c r="H8" s="16" t="n">
        <x:f>F8/G8</x:f>
        <x:v>5.233949945593035</x:v>
      </x:c>
      <x:c r="I8" s="16" t="n">
        <x:v>0.626</x:v>
      </x:c>
      <x:c r="J8" s="16" t="n">
        <x:f>F8*I8</x:f>
        <x:v>3.0110599999999996</x:v>
      </x:c>
      <x:c r="K8" s="16" t="n">
        <x:f>J8*TAN(ACOS(G8))</x:f>
        <x:v>1.2917661353950491</x:v>
      </x:c>
      <x:c r="L8" s="16" t="n">
        <x:f>SQRT(J8^2+K8^2)</x:f>
        <x:v>3.27645266594124</x:v>
      </x:c>
      <x:c r="M8" s="16" t="str">
        <x:v>Three Phase</x:v>
      </x:c>
      <x:c r="N8" s="16" t="str">
        <x:v>RYB</x:v>
      </x:c>
      <x:c r="O8" s="16" t="str">
        <x:v>Yes</x:v>
      </x:c>
      <x:c r="P8" s="16" t="n">
        <x:v>7</x:v>
      </x:c>
      <x:c r="Q8" s="16" t="n">
        <x:v>0.456</x:v>
      </x:c>
      <x:c r="R8" s="16" t="n">
        <x:v>0.843</x:v>
      </x:c>
      <x:c r="S8" s="16" t="n">
        <x:f>F8*Q8</x:f>
        <x:v>2.1933599999999998</x:v>
      </x:c>
      <x:c r="T8" s="16" t="n">
        <x:f>IF(O8="Yes",P8*R8,0)</x:f>
        <x:v>5.901</x:v>
      </x:c>
      <x:c r="U8" s="16" t="n">
        <x:f>S8-T8</x:f>
        <x:v>-3.70764</x:v>
      </x:c>
      <x:c r="V8" s="16" t="n">
        <x:f>S8*TAN(ACOS(G8))</x:f>
        <x:v>0.9409670251439974</x:v>
      </x:c>
      <x:c r="W8" s="16" t="n">
        <x:f>SQRT(U8^2+V8^2)</x:f>
        <x:v>3.82518147438894</x:v>
      </x:c>
      <x:c r="X8" s="13" t="str">
        <x:v>Yes</x:v>
      </x:c>
      <x:c r="Y8" s="13" t="str">
        <x:v>DT-4</x:v>
      </x:c>
      <x:c r="Z8" s="18" t="n">
        <x:v>27</x:v>
      </x:c>
      <x:c r="AA8" s="13" t="str"/>
      <x:c r="AB8" s="18" t="str"/>
      <x:c r="AC8" s="13" t="str">
        <x:v>No</x:v>
      </x:c>
      <x:c r="AD8" s="16" t="n">
        <x:f>IF(M8="Three Phase",J8/3,IF(N8="R",J8,0))</x:f>
        <x:v>1.0036866666666666</x:v>
      </x:c>
      <x:c r="AE8" s="16" t="n">
        <x:f>IF(M8="Three Phase",K8/3,IF(N8="R",K8,0))</x:f>
        <x:v>0.43058871179834973</x:v>
      </x:c>
      <x:c r="AF8" s="16" t="n">
        <x:f>IF(M8="Three Phase",J8/3,IF(N8="Y",J8,0))</x:f>
        <x:v>1.0036866666666666</x:v>
      </x:c>
      <x:c r="AG8" s="16" t="n">
        <x:f>IF(M8="Three Phase",K8/3,IF(N8="Y",K8,0))</x:f>
        <x:v>0.43058871179834973</x:v>
      </x:c>
      <x:c r="AH8" s="16" t="n">
        <x:f>IF(M8="Three Phase",J8/3,IF(N8="B",J8,0))</x:f>
        <x:v>1.0036866666666666</x:v>
      </x:c>
      <x:c r="AI8" s="16" t="n">
        <x:f>IF(M8="Three Phase",K8/3,IF(N8="B",K8,0))</x:f>
        <x:v>0.43058871179834973</x:v>
      </x:c>
      <x:c r="AJ8" s="16" t="n">
        <x:f>IF(M8="Three Phase",U8/3,IF(N8="R",U8,0))</x:f>
        <x:v>-1.23588</x:v>
      </x:c>
      <x:c r="AK8" s="16" t="n">
        <x:f>IF(M8="Three Phase",V8/3,IF(N8="R",V8,0))</x:f>
        <x:v>0.3136556750479991</x:v>
      </x:c>
      <x:c r="AL8" s="16" t="n">
        <x:f>IF(M8="Three Phase",U8/3,IF(N8="Y",U8,0))</x:f>
        <x:v>-1.23588</x:v>
      </x:c>
      <x:c r="AM8" s="16" t="n">
        <x:f>IF(M8="Three Phase",V8/3,IF(N8="Y",V8,0))</x:f>
        <x:v>0.3136556750479991</x:v>
      </x:c>
      <x:c r="AN8" s="16" t="n">
        <x:f>IF(M8="Three Phase",U8/3,IF(N8="B",U8,0))</x:f>
        <x:v>-1.23588</x:v>
      </x:c>
      <x:c r="AO8" s="16" t="n">
        <x:f>IF(M8="Three Phase",V8/3,IF(N8="B",V8,0))</x:f>
        <x:v>0.3136556750479991</x:v>
      </x:c>
    </x:row>
    <x:row r="9">
      <x:c r="A9" s="13" t="str">
        <x:v>C0008</x:v>
      </x:c>
      <x:c r="B9" s="13" t="str">
        <x:v>DT-1</x:v>
      </x:c>
      <x:c r="C9" s="13" t="str">
        <x:v>Residential</x:v>
      </x:c>
      <x:c r="D9" s="16" t="n">
        <x:v>5.5</x:v>
      </x:c>
      <x:c r="E9" s="16" t="n">
        <x:v>0.532</x:v>
      </x:c>
      <x:c r="F9" s="16" t="n">
        <x:f>D9*E9</x:f>
        <x:v>2.926</x:v>
      </x:c>
      <x:c r="G9" s="16" t="n">
        <x:v>0.903</x:v>
      </x:c>
      <x:c r="H9" s="16" t="n">
        <x:f>F9/G9</x:f>
        <x:v>3.24031007751938</x:v>
      </x:c>
      <x:c r="I9" s="16" t="n">
        <x:v>0.827</x:v>
      </x:c>
      <x:c r="J9" s="16" t="n">
        <x:f>F9*I9</x:f>
        <x:v>2.419802</x:v>
      </x:c>
      <x:c r="K9" s="16" t="n">
        <x:f>J9*TAN(ACOS(G9))</x:f>
        <x:v>1.1513234285311336</x:v>
      </x:c>
      <x:c r="L9" s="16" t="n">
        <x:f>SQRT(J9^2+K9^2)</x:f>
        <x:v>2.679736434108527</x:v>
      </x:c>
      <x:c r="M9" s="16" t="str">
        <x:v>Single Phase</x:v>
      </x:c>
      <x:c r="N9" s="16" t="str">
        <x:v>Y</x:v>
      </x:c>
      <x:c r="O9" s="16" t="str">
        <x:v>No</x:v>
      </x:c>
      <x:c r="P9" s="16" t="n">
        <x:v>0</x:v>
      </x:c>
      <x:c r="Q9" s="16" t="n">
        <x:v>0.28</x:v>
      </x:c>
      <x:c r="R9" s="16" t="n">
        <x:v>0</x:v>
      </x:c>
      <x:c r="S9" s="16" t="n">
        <x:f>F9*Q9</x:f>
        <x:v>0.8192800000000001</x:v>
      </x:c>
      <x:c r="T9" s="16" t="n">
        <x:f>IF(O9="Yes",P9*R9,0)</x:f>
        <x:v>0</x:v>
      </x:c>
      <x:c r="U9" s="16" t="n">
        <x:f>S9-T9</x:f>
        <x:v>0.8192800000000001</x:v>
      </x:c>
      <x:c r="V9" s="16" t="n">
        <x:f>S9*TAN(ACOS(G9))</x:f>
        <x:v>0.3898072067578204</x:v>
      </x:c>
      <x:c r="W9" s="16" t="n">
        <x:f>SQRT(U9^2+V9^2)</x:f>
        <x:v>0.9072868217054265</x:v>
      </x:c>
      <x:c r="X9" s="13" t="str">
        <x:v>No</x:v>
      </x:c>
      <x:c r="Y9" s="13" t="str"/>
      <x:c r="Z9" s="18" t="str"/>
      <x:c r="AA9" s="13" t="str"/>
      <x:c r="AB9" s="18" t="str"/>
      <x:c r="AC9" s="13" t="str">
        <x:v>Yes</x:v>
      </x:c>
      <x:c r="AD9" s="16" t="n">
        <x:f>IF(M9="Three Phase",J9/3,IF(N9="R",J9,0))</x:f>
        <x:v>0</x:v>
      </x:c>
      <x:c r="AE9" s="16" t="n">
        <x:f>IF(M9="Three Phase",K9/3,IF(N9="R",K9,0))</x:f>
        <x:v>0</x:v>
      </x:c>
      <x:c r="AF9" s="16" t="n">
        <x:f>IF(M9="Three Phase",J9/3,IF(N9="Y",J9,0))</x:f>
        <x:v>2.419802</x:v>
      </x:c>
      <x:c r="AG9" s="16" t="n">
        <x:f>IF(M9="Three Phase",K9/3,IF(N9="Y",K9,0))</x:f>
        <x:v>1.1513234285311336</x:v>
      </x:c>
      <x:c r="AH9" s="16" t="n">
        <x:f>IF(M9="Three Phase",J9/3,IF(N9="B",J9,0))</x:f>
        <x:v>0</x:v>
      </x:c>
      <x:c r="AI9" s="16" t="n">
        <x:f>IF(M9="Three Phase",K9/3,IF(N9="B",K9,0))</x:f>
        <x:v>0</x:v>
      </x:c>
      <x:c r="AJ9" s="16" t="n">
        <x:f>IF(M9="Three Phase",U9/3,IF(N9="R",U9,0))</x:f>
        <x:v>0</x:v>
      </x:c>
      <x:c r="AK9" s="16" t="n">
        <x:f>IF(M9="Three Phase",V9/3,IF(N9="R",V9,0))</x:f>
        <x:v>0</x:v>
      </x:c>
      <x:c r="AL9" s="16" t="n">
        <x:f>IF(M9="Three Phase",U9/3,IF(N9="Y",U9,0))</x:f>
        <x:v>0.8192800000000001</x:v>
      </x:c>
      <x:c r="AM9" s="16" t="n">
        <x:f>IF(M9="Three Phase",V9/3,IF(N9="Y",V9,0))</x:f>
        <x:v>0.3898072067578204</x:v>
      </x:c>
      <x:c r="AN9" s="16" t="n">
        <x:f>IF(M9="Three Phase",U9/3,IF(N9="B",U9,0))</x:f>
        <x:v>0</x:v>
      </x:c>
      <x:c r="AO9" s="16" t="n">
        <x:f>IF(M9="Three Phase",V9/3,IF(N9="B",V9,0))</x:f>
        <x:v>0</x:v>
      </x:c>
    </x:row>
    <x:row r="10">
      <x:c r="A10" s="13" t="str">
        <x:v>C0009</x:v>
      </x:c>
      <x:c r="B10" s="13" t="str">
        <x:v>DT-1</x:v>
      </x:c>
      <x:c r="C10" s="13" t="str">
        <x:v>Commercial</x:v>
      </x:c>
      <x:c r="D10" s="16" t="n">
        <x:v>9</x:v>
      </x:c>
      <x:c r="E10" s="16" t="n">
        <x:v>0.54</x:v>
      </x:c>
      <x:c r="F10" s="16" t="n">
        <x:f>D10*E10</x:f>
        <x:v>4.86</x:v>
      </x:c>
      <x:c r="G10" s="16" t="n">
        <x:v>0.912</x:v>
      </x:c>
      <x:c r="H10" s="16" t="n">
        <x:f>F10/G10</x:f>
        <x:v>5.328947368421053</x:v>
      </x:c>
      <x:c r="I10" s="16" t="n">
        <x:v>0.794</x:v>
      </x:c>
      <x:c r="J10" s="16" t="n">
        <x:f>F10*I10</x:f>
        <x:v>3.8588400000000003</x:v>
      </x:c>
      <x:c r="K10" s="16" t="n">
        <x:f>J10*TAN(ACOS(G10))</x:f>
        <x:v>1.7355902966446894</x:v>
      </x:c>
      <x:c r="L10" s="16" t="n">
        <x:f>SQRT(J10^2+K10^2)</x:f>
        <x:v>4.231184210526316</x:v>
      </x:c>
      <x:c r="M10" s="16" t="str">
        <x:v>Three Phase</x:v>
      </x:c>
      <x:c r="N10" s="16" t="str">
        <x:v>RYB</x:v>
      </x:c>
      <x:c r="O10" s="16" t="str">
        <x:v>No</x:v>
      </x:c>
      <x:c r="P10" s="16" t="n">
        <x:v>0</x:v>
      </x:c>
      <x:c r="Q10" s="16" t="n">
        <x:v>0.541</x:v>
      </x:c>
      <x:c r="R10" s="16" t="n">
        <x:v>0</x:v>
      </x:c>
      <x:c r="S10" s="16" t="n">
        <x:f>F10*Q10</x:f>
        <x:v>2.6292600000000004</x:v>
      </x:c>
      <x:c r="T10" s="16" t="n">
        <x:f>IF(O10="Yes",P10*R10,0)</x:f>
        <x:v>0</x:v>
      </x:c>
      <x:c r="U10" s="16" t="n">
        <x:f>S10-T10</x:f>
        <x:v>2.6292600000000004</x:v>
      </x:c>
      <x:c r="V10" s="16" t="n">
        <x:f>S10*TAN(ACOS(G10))</x:f>
        <x:v>1.1825621542629434</x:v>
      </x:c>
      <x:c r="W10" s="16" t="n">
        <x:f>SQRT(U10^2+V10^2)</x:f>
        <x:v>2.88296052631579</x:v>
      </x:c>
      <x:c r="X10" s="13" t="str">
        <x:v>No</x:v>
      </x:c>
      <x:c r="Y10" s="13" t="str"/>
      <x:c r="Z10" s="18" t="str"/>
      <x:c r="AA10" s="13" t="str"/>
      <x:c r="AB10" s="18" t="str"/>
      <x:c r="AC10" s="13" t="str">
        <x:v>No</x:v>
      </x:c>
      <x:c r="AD10" s="16" t="n">
        <x:f>IF(M10="Three Phase",J10/3,IF(N10="R",J10,0))</x:f>
        <x:v>1.28628</x:v>
      </x:c>
      <x:c r="AE10" s="16" t="n">
        <x:f>IF(M10="Three Phase",K10/3,IF(N10="R",K10,0))</x:f>
        <x:v>0.5785300988815631</x:v>
      </x:c>
      <x:c r="AF10" s="16" t="n">
        <x:f>IF(M10="Three Phase",J10/3,IF(N10="Y",J10,0))</x:f>
        <x:v>1.28628</x:v>
      </x:c>
      <x:c r="AG10" s="16" t="n">
        <x:f>IF(M10="Three Phase",K10/3,IF(N10="Y",K10,0))</x:f>
        <x:v>0.5785300988815631</x:v>
      </x:c>
      <x:c r="AH10" s="16" t="n">
        <x:f>IF(M10="Three Phase",J10/3,IF(N10="B",J10,0))</x:f>
        <x:v>1.28628</x:v>
      </x:c>
      <x:c r="AI10" s="16" t="n">
        <x:f>IF(M10="Three Phase",K10/3,IF(N10="B",K10,0))</x:f>
        <x:v>0.5785300988815631</x:v>
      </x:c>
      <x:c r="AJ10" s="16" t="n">
        <x:f>IF(M10="Three Phase",U10/3,IF(N10="R",U10,0))</x:f>
        <x:v>0.8764200000000001</x:v>
      </x:c>
      <x:c r="AK10" s="16" t="n">
        <x:f>IF(M10="Three Phase",V10/3,IF(N10="R",V10,0))</x:f>
        <x:v>0.3941873847543145</x:v>
      </x:c>
      <x:c r="AL10" s="16" t="n">
        <x:f>IF(M10="Three Phase",U10/3,IF(N10="Y",U10,0))</x:f>
        <x:v>0.8764200000000001</x:v>
      </x:c>
      <x:c r="AM10" s="16" t="n">
        <x:f>IF(M10="Three Phase",V10/3,IF(N10="Y",V10,0))</x:f>
        <x:v>0.3941873847543145</x:v>
      </x:c>
      <x:c r="AN10" s="16" t="n">
        <x:f>IF(M10="Three Phase",U10/3,IF(N10="B",U10,0))</x:f>
        <x:v>0.8764200000000001</x:v>
      </x:c>
      <x:c r="AO10" s="16" t="n">
        <x:f>IF(M10="Three Phase",V10/3,IF(N10="B",V10,0))</x:f>
        <x:v>0.3941873847543145</x:v>
      </x:c>
    </x:row>
    <x:row r="11">
      <x:c r="A11" s="13" t="str">
        <x:v>C0010</x:v>
      </x:c>
      <x:c r="B11" s="13" t="str">
        <x:v>DT-1</x:v>
      </x:c>
      <x:c r="C11" s="13" t="str">
        <x:v>Residential</x:v>
      </x:c>
      <x:c r="D11" s="16" t="n">
        <x:v>4.5</x:v>
      </x:c>
      <x:c r="E11" s="16" t="n">
        <x:v>0.431</x:v>
      </x:c>
      <x:c r="F11" s="16" t="n">
        <x:f>D11*E11</x:f>
        <x:v>1.9395</x:v>
      </x:c>
      <x:c r="G11" s="16" t="n">
        <x:v>0.982</x:v>
      </x:c>
      <x:c r="H11" s="16" t="n">
        <x:f>F11/G11</x:f>
        <x:v>1.975050916496945</x:v>
      </x:c>
      <x:c r="I11" s="16" t="n">
        <x:v>0.965</x:v>
      </x:c>
      <x:c r="J11" s="16" t="n">
        <x:f>F11*I11</x:f>
        <x:v>1.8716175</x:v>
      </x:c>
      <x:c r="K11" s="16" t="n">
        <x:f>J11*TAN(ACOS(G11))</x:f>
        <x:v>0.3599926941712406</x:v>
      </x:c>
      <x:c r="L11" s="16" t="n">
        <x:f>SQRT(J11^2+K11^2)</x:f>
        <x:v>1.9059241344195519</x:v>
      </x:c>
      <x:c r="M11" s="16" t="str">
        <x:v>Single Phase</x:v>
      </x:c>
      <x:c r="N11" s="16" t="str">
        <x:v>B</x:v>
      </x:c>
      <x:c r="O11" s="16" t="str">
        <x:v>Yes</x:v>
      </x:c>
      <x:c r="P11" s="16" t="n">
        <x:v>5</x:v>
      </x:c>
      <x:c r="Q11" s="16" t="n">
        <x:v>0.323</x:v>
      </x:c>
      <x:c r="R11" s="16" t="n">
        <x:v>0.761</x:v>
      </x:c>
      <x:c r="S11" s="16" t="n">
        <x:f>F11*Q11</x:f>
        <x:v>0.6264585</x:v>
      </x:c>
      <x:c r="T11" s="16" t="n">
        <x:f>IF(O11="Yes",P11*R11,0)</x:f>
        <x:v>3.805</x:v>
      </x:c>
      <x:c r="U11" s="16" t="n">
        <x:f>S11-T11</x:f>
        <x:v>-3.1785415</x:v>
      </x:c>
      <x:c r="V11" s="16" t="n">
        <x:f>S11*TAN(ACOS(G11))</x:f>
        <x:v>0.12049496395576241</x:v>
      </x:c>
      <x:c r="W11" s="16" t="n">
        <x:f>SQRT(U11^2+V11^2)</x:f>
        <x:v>3.1808245949063196</x:v>
      </x:c>
      <x:c r="X11" s="13" t="str">
        <x:v>No</x:v>
      </x:c>
      <x:c r="Y11" s="13" t="str"/>
      <x:c r="Z11" s="18" t="str"/>
      <x:c r="AA11" s="13" t="str"/>
      <x:c r="AB11" s="18" t="str"/>
      <x:c r="AC11" s="13" t="str">
        <x:v>Yes</x:v>
      </x:c>
      <x:c r="AD11" s="16" t="n">
        <x:f>IF(M11="Three Phase",J11/3,IF(N11="R",J11,0))</x:f>
        <x:v>0</x:v>
      </x:c>
      <x:c r="AE11" s="16" t="n">
        <x:f>IF(M11="Three Phase",K11/3,IF(N11="R",K11,0))</x:f>
        <x:v>0</x:v>
      </x:c>
      <x:c r="AF11" s="16" t="n">
        <x:f>IF(M11="Three Phase",J11/3,IF(N11="Y",J11,0))</x:f>
        <x:v>0</x:v>
      </x:c>
      <x:c r="AG11" s="16" t="n">
        <x:f>IF(M11="Three Phase",K11/3,IF(N11="Y",K11,0))</x:f>
        <x:v>0</x:v>
      </x:c>
      <x:c r="AH11" s="16" t="n">
        <x:f>IF(M11="Three Phase",J11/3,IF(N11="B",J11,0))</x:f>
        <x:v>1.8716175</x:v>
      </x:c>
      <x:c r="AI11" s="16" t="n">
        <x:f>IF(M11="Three Phase",K11/3,IF(N11="B",K11,0))</x:f>
        <x:v>0.3599926941712406</x:v>
      </x:c>
      <x:c r="AJ11" s="16" t="n">
        <x:f>IF(M11="Three Phase",U11/3,IF(N11="R",U11,0))</x:f>
        <x:v>0</x:v>
      </x:c>
      <x:c r="AK11" s="16" t="n">
        <x:f>IF(M11="Three Phase",V11/3,IF(N11="R",V11,0))</x:f>
        <x:v>0</x:v>
      </x:c>
      <x:c r="AL11" s="16" t="n">
        <x:f>IF(M11="Three Phase",U11/3,IF(N11="Y",U11,0))</x:f>
        <x:v>0</x:v>
      </x:c>
      <x:c r="AM11" s="16" t="n">
        <x:f>IF(M11="Three Phase",V11/3,IF(N11="Y",V11,0))</x:f>
        <x:v>0</x:v>
      </x:c>
      <x:c r="AN11" s="16" t="n">
        <x:f>IF(M11="Three Phase",U11/3,IF(N11="B",U11,0))</x:f>
        <x:v>-3.1785415</x:v>
      </x:c>
      <x:c r="AO11" s="16" t="n">
        <x:f>IF(M11="Three Phase",V11/3,IF(N11="B",V11,0))</x:f>
        <x:v>0.12049496395576241</x:v>
      </x:c>
    </x:row>
    <x:row r="12">
      <x:c r="A12" s="13" t="str">
        <x:v>C0011</x:v>
      </x:c>
      <x:c r="B12" s="13" t="str">
        <x:v>DT-2</x:v>
      </x:c>
      <x:c r="C12" s="13" t="str">
        <x:v>Residential</x:v>
      </x:c>
      <x:c r="D12" s="16" t="n">
        <x:v>6.5</x:v>
      </x:c>
      <x:c r="E12" s="16" t="n">
        <x:v>0.573</x:v>
      </x:c>
      <x:c r="F12" s="16" t="n">
        <x:f>D12*E12</x:f>
        <x:v>3.7245</x:v>
      </x:c>
      <x:c r="G12" s="16" t="n">
        <x:v>0.905</x:v>
      </x:c>
      <x:c r="H12" s="16" t="n">
        <x:f>F12/G12</x:f>
        <x:v>4.115469613259668</x:v>
      </x:c>
      <x:c r="I12" s="16" t="n">
        <x:v>0.852</x:v>
      </x:c>
      <x:c r="J12" s="16" t="n">
        <x:f>F12*I12</x:f>
        <x:v>3.1732739999999997</x:v>
      </x:c>
      <x:c r="K12" s="16" t="n">
        <x:f>J12*TAN(ACOS(G12))</x:f>
        <x:v>1.4916546517926388</x:v>
      </x:c>
      <x:c r="L12" s="16" t="n">
        <x:f>SQRT(J12^2+K12^2)</x:f>
        <x:v>3.506380110497237</x:v>
      </x:c>
      <x:c r="M12" s="16" t="str">
        <x:v>Three Phase</x:v>
      </x:c>
      <x:c r="N12" s="16" t="str">
        <x:v>RYB</x:v>
      </x:c>
      <x:c r="O12" s="16" t="str">
        <x:v>Yes</x:v>
      </x:c>
      <x:c r="P12" s="16" t="n">
        <x:v>5.5</x:v>
      </x:c>
      <x:c r="Q12" s="16" t="n">
        <x:v>0.393</x:v>
      </x:c>
      <x:c r="R12" s="16" t="n">
        <x:v>0.809</x:v>
      </x:c>
      <x:c r="S12" s="16" t="n">
        <x:f>F12*Q12</x:f>
        <x:v>1.4637285</x:v>
      </x:c>
      <x:c r="T12" s="16" t="n">
        <x:f>IF(O12="Yes",P12*R12,0)</x:f>
        <x:v>4.4495000000000005</x:v>
      </x:c>
      <x:c r="U12" s="16" t="n">
        <x:f>S12-T12</x:f>
        <x:v>-2.9857715000000002</x:v>
      </x:c>
      <x:c r="V12" s="16" t="n">
        <x:f>S12*TAN(ACOS(G12))</x:f>
        <x:v>0.6880519696649144</x:v>
      </x:c>
      <x:c r="W12" s="16" t="n">
        <x:f>SQRT(U12^2+V12^2)</x:f>
        <x:v>3.0640246348833458</x:v>
      </x:c>
      <x:c r="X12" s="13" t="str">
        <x:v>Yes</x:v>
      </x:c>
      <x:c r="Y12" s="13" t="str">
        <x:v>DT-3</x:v>
      </x:c>
      <x:c r="Z12" s="18" t="n">
        <x:v>42</x:v>
      </x:c>
      <x:c r="AA12" s="13" t="str"/>
      <x:c r="AB12" s="18" t="str"/>
      <x:c r="AC12" s="13" t="str">
        <x:v>No</x:v>
      </x:c>
      <x:c r="AD12" s="16" t="n">
        <x:f>IF(M12="Three Phase",J12/3,IF(N12="R",J12,0))</x:f>
        <x:v>1.057758</x:v>
      </x:c>
      <x:c r="AE12" s="16" t="n">
        <x:f>IF(M12="Three Phase",K12/3,IF(N12="R",K12,0))</x:f>
        <x:v>0.49721821726421295</x:v>
      </x:c>
      <x:c r="AF12" s="16" t="n">
        <x:f>IF(M12="Three Phase",J12/3,IF(N12="Y",J12,0))</x:f>
        <x:v>1.057758</x:v>
      </x:c>
      <x:c r="AG12" s="16" t="n">
        <x:f>IF(M12="Three Phase",K12/3,IF(N12="Y",K12,0))</x:f>
        <x:v>0.49721821726421295</x:v>
      </x:c>
      <x:c r="AH12" s="16" t="n">
        <x:f>IF(M12="Three Phase",J12/3,IF(N12="B",J12,0))</x:f>
        <x:v>1.057758</x:v>
      </x:c>
      <x:c r="AI12" s="16" t="n">
        <x:f>IF(M12="Three Phase",K12/3,IF(N12="B",K12,0))</x:f>
        <x:v>0.49721821726421295</x:v>
      </x:c>
      <x:c r="AJ12" s="16" t="n">
        <x:f>IF(M12="Three Phase",U12/3,IF(N12="R",U12,0))</x:f>
        <x:v>-0.9952571666666667</x:v>
      </x:c>
      <x:c r="AK12" s="16" t="n">
        <x:f>IF(M12="Three Phase",V12/3,IF(N12="R",V12,0))</x:f>
        <x:v>0.22935065655497147</x:v>
      </x:c>
      <x:c r="AL12" s="16" t="n">
        <x:f>IF(M12="Three Phase",U12/3,IF(N12="Y",U12,0))</x:f>
        <x:v>-0.9952571666666667</x:v>
      </x:c>
      <x:c r="AM12" s="16" t="n">
        <x:f>IF(M12="Three Phase",V12/3,IF(N12="Y",V12,0))</x:f>
        <x:v>0.22935065655497147</x:v>
      </x:c>
      <x:c r="AN12" s="16" t="n">
        <x:f>IF(M12="Three Phase",U12/3,IF(N12="B",U12,0))</x:f>
        <x:v>-0.9952571666666667</x:v>
      </x:c>
      <x:c r="AO12" s="16" t="n">
        <x:f>IF(M12="Three Phase",V12/3,IF(N12="B",V12,0))</x:f>
        <x:v>0.22935065655497147</x:v>
      </x:c>
    </x:row>
    <x:row r="13">
      <x:c r="A13" s="13" t="str">
        <x:v>C0012</x:v>
      </x:c>
      <x:c r="B13" s="13" t="str">
        <x:v>DT-2</x:v>
      </x:c>
      <x:c r="C13" s="13" t="str">
        <x:v>Residential</x:v>
      </x:c>
      <x:c r="D13" s="16" t="n">
        <x:v>2.5</x:v>
      </x:c>
      <x:c r="E13" s="16" t="n">
        <x:v>0.78</x:v>
      </x:c>
      <x:c r="F13" s="16" t="n">
        <x:f>D13*E13</x:f>
        <x:v>1.9500000000000002</x:v>
      </x:c>
      <x:c r="G13" s="16" t="n">
        <x:v>0.945</x:v>
      </x:c>
      <x:c r="H13" s="16" t="n">
        <x:f>F13/G13</x:f>
        <x:v>2.0634920634920637</x:v>
      </x:c>
      <x:c r="I13" s="16" t="n">
        <x:v>0.895</x:v>
      </x:c>
      <x:c r="J13" s="16" t="n">
        <x:f>F13*I13</x:f>
        <x:v>1.7452500000000002</x:v>
      </x:c>
      <x:c r="K13" s="16" t="n">
        <x:f>J13*TAN(ACOS(G13))</x:f>
        <x:v>0.6040417898285556</x:v>
      </x:c>
      <x:c r="L13" s="16" t="n">
        <x:f>SQRT(J13^2+K13^2)</x:f>
        <x:v>1.8468253968253971</x:v>
      </x:c>
      <x:c r="M13" s="16" t="str">
        <x:v>Single Phase</x:v>
      </x:c>
      <x:c r="N13" s="16" t="str">
        <x:v>Y</x:v>
      </x:c>
      <x:c r="O13" s="16" t="str">
        <x:v>No</x:v>
      </x:c>
      <x:c r="P13" s="16" t="n">
        <x:v>0</x:v>
      </x:c>
      <x:c r="Q13" s="16" t="n">
        <x:v>0.246</x:v>
      </x:c>
      <x:c r="R13" s="16" t="n">
        <x:v>0</x:v>
      </x:c>
      <x:c r="S13" s="16" t="n">
        <x:f>F13*Q13</x:f>
        <x:v>0.4797</x:v>
      </x:c>
      <x:c r="T13" s="16" t="n">
        <x:f>IF(O13="Yes",P13*R13,0)</x:f>
        <x:v>0</x:v>
      </x:c>
      <x:c r="U13" s="16" t="n">
        <x:f>S13-T13</x:f>
        <x:v>0.4797</x:v>
      </x:c>
      <x:c r="V13" s="16" t="n">
        <x:f>S13*TAN(ACOS(G13))</x:f>
        <x:v>0.16602712882438508</x:v>
      </x:c>
      <x:c r="W13" s="16" t="n">
        <x:f>SQRT(U13^2+V13^2)</x:f>
        <x:v>0.5076190476190476</x:v>
      </x:c>
      <x:c r="X13" s="13" t="str">
        <x:v>Yes</x:v>
      </x:c>
      <x:c r="Y13" s="13" t="str">
        <x:v>DT-3</x:v>
      </x:c>
      <x:c r="Z13" s="18" t="n">
        <x:v>68</x:v>
      </x:c>
      <x:c r="AA13" s="13" t="str"/>
      <x:c r="AB13" s="18" t="str"/>
      <x:c r="AC13" s="13" t="str">
        <x:v>Yes</x:v>
      </x:c>
      <x:c r="AD13" s="16" t="n">
        <x:f>IF(M13="Three Phase",J13/3,IF(N13="R",J13,0))</x:f>
        <x:v>0</x:v>
      </x:c>
      <x:c r="AE13" s="16" t="n">
        <x:f>IF(M13="Three Phase",K13/3,IF(N13="R",K13,0))</x:f>
        <x:v>0</x:v>
      </x:c>
      <x:c r="AF13" s="16" t="n">
        <x:f>IF(M13="Three Phase",J13/3,IF(N13="Y",J13,0))</x:f>
        <x:v>1.7452500000000002</x:v>
      </x:c>
      <x:c r="AG13" s="16" t="n">
        <x:f>IF(M13="Three Phase",K13/3,IF(N13="Y",K13,0))</x:f>
        <x:v>0.6040417898285556</x:v>
      </x:c>
      <x:c r="AH13" s="16" t="n">
        <x:f>IF(M13="Three Phase",J13/3,IF(N13="B",J13,0))</x:f>
        <x:v>0</x:v>
      </x:c>
      <x:c r="AI13" s="16" t="n">
        <x:f>IF(M13="Three Phase",K13/3,IF(N13="B",K13,0))</x:f>
        <x:v>0</x:v>
      </x:c>
      <x:c r="AJ13" s="16" t="n">
        <x:f>IF(M13="Three Phase",U13/3,IF(N13="R",U13,0))</x:f>
        <x:v>0</x:v>
      </x:c>
      <x:c r="AK13" s="16" t="n">
        <x:f>IF(M13="Three Phase",V13/3,IF(N13="R",V13,0))</x:f>
        <x:v>0</x:v>
      </x:c>
      <x:c r="AL13" s="16" t="n">
        <x:f>IF(M13="Three Phase",U13/3,IF(N13="Y",U13,0))</x:f>
        <x:v>0.4797</x:v>
      </x:c>
      <x:c r="AM13" s="16" t="n">
        <x:f>IF(M13="Three Phase",V13/3,IF(N13="Y",V13,0))</x:f>
        <x:v>0.16602712882438508</x:v>
      </x:c>
      <x:c r="AN13" s="16" t="n">
        <x:f>IF(M13="Three Phase",U13/3,IF(N13="B",U13,0))</x:f>
        <x:v>0</x:v>
      </x:c>
      <x:c r="AO13" s="16" t="n">
        <x:f>IF(M13="Three Phase",V13/3,IF(N13="B",V13,0))</x:f>
        <x:v>0</x:v>
      </x:c>
    </x:row>
    <x:row r="14">
      <x:c r="A14" s="13" t="str">
        <x:v>C0013</x:v>
      </x:c>
      <x:c r="B14" s="13" t="str">
        <x:v>DT-2</x:v>
      </x:c>
      <x:c r="C14" s="13" t="str">
        <x:v>Residential</x:v>
      </x:c>
      <x:c r="D14" s="16" t="n">
        <x:v>3</x:v>
      </x:c>
      <x:c r="E14" s="16" t="n">
        <x:v>0.552</x:v>
      </x:c>
      <x:c r="F14" s="16" t="n">
        <x:f>D14*E14</x:f>
        <x:v>1.6560000000000001</x:v>
      </x:c>
      <x:c r="G14" s="16" t="n">
        <x:v>0.931</x:v>
      </x:c>
      <x:c r="H14" s="16" t="n">
        <x:f>F14/G14</x:f>
        <x:v>1.7787325456498388</x:v>
      </x:c>
      <x:c r="I14" s="16" t="n">
        <x:v>0.955</x:v>
      </x:c>
      <x:c r="J14" s="16" t="n">
        <x:f>F14*I14</x:f>
        <x:v>1.58148</x:v>
      </x:c>
      <x:c r="K14" s="16" t="n">
        <x:f>J14*TAN(ACOS(G14))</x:f>
        <x:v>0.6200542738524842</x:v>
      </x:c>
      <x:c r="L14" s="16" t="n">
        <x:f>SQRT(J14^2+K14^2)</x:f>
        <x:v>1.698689581095596</x:v>
      </x:c>
      <x:c r="M14" s="16" t="str">
        <x:v>Single Phase</x:v>
      </x:c>
      <x:c r="N14" s="16" t="str">
        <x:v>Y</x:v>
      </x:c>
      <x:c r="O14" s="16" t="str">
        <x:v>No</x:v>
      </x:c>
      <x:c r="P14" s="16" t="n">
        <x:v>0</x:v>
      </x:c>
      <x:c r="Q14" s="16" t="n">
        <x:v>0.496</x:v>
      </x:c>
      <x:c r="R14" s="16" t="n">
        <x:v>0</x:v>
      </x:c>
      <x:c r="S14" s="16" t="n">
        <x:f>F14*Q14</x:f>
        <x:v>0.8213760000000001</x:v>
      </x:c>
      <x:c r="T14" s="16" t="n">
        <x:f>IF(O14="Yes",P14*R14,0)</x:f>
        <x:v>0</x:v>
      </x:c>
      <x:c r="U14" s="16" t="n">
        <x:f>S14-T14</x:f>
        <x:v>0.8213760000000001</x:v>
      </x:c>
      <x:c r="V14" s="16" t="n">
        <x:f>S14*TAN(ACOS(G14))</x:f>
        <x:v>0.32203865950872484</x:v>
      </x:c>
      <x:c r="W14" s="16" t="n">
        <x:f>SQRT(U14^2+V14^2)</x:f>
        <x:v>0.8822513426423201</x:v>
      </x:c>
      <x:c r="X14" s="13" t="str">
        <x:v>No</x:v>
      </x:c>
      <x:c r="Y14" s="13" t="str"/>
      <x:c r="Z14" s="18" t="str"/>
      <x:c r="AA14" s="13" t="str"/>
      <x:c r="AB14" s="18" t="str"/>
      <x:c r="AC14" s="13" t="str">
        <x:v>No</x:v>
      </x:c>
      <x:c r="AD14" s="16" t="n">
        <x:f>IF(M14="Three Phase",J14/3,IF(N14="R",J14,0))</x:f>
        <x:v>0</x:v>
      </x:c>
      <x:c r="AE14" s="16" t="n">
        <x:f>IF(M14="Three Phase",K14/3,IF(N14="R",K14,0))</x:f>
        <x:v>0</x:v>
      </x:c>
      <x:c r="AF14" s="16" t="n">
        <x:f>IF(M14="Three Phase",J14/3,IF(N14="Y",J14,0))</x:f>
        <x:v>1.58148</x:v>
      </x:c>
      <x:c r="AG14" s="16" t="n">
        <x:f>IF(M14="Three Phase",K14/3,IF(N14="Y",K14,0))</x:f>
        <x:v>0.6200542738524842</x:v>
      </x:c>
      <x:c r="AH14" s="16" t="n">
        <x:f>IF(M14="Three Phase",J14/3,IF(N14="B",J14,0))</x:f>
        <x:v>0</x:v>
      </x:c>
      <x:c r="AI14" s="16" t="n">
        <x:f>IF(M14="Three Phase",K14/3,IF(N14="B",K14,0))</x:f>
        <x:v>0</x:v>
      </x:c>
      <x:c r="AJ14" s="16" t="n">
        <x:f>IF(M14="Three Phase",U14/3,IF(N14="R",U14,0))</x:f>
        <x:v>0</x:v>
      </x:c>
      <x:c r="AK14" s="16" t="n">
        <x:f>IF(M14="Three Phase",V14/3,IF(N14="R",V14,0))</x:f>
        <x:v>0</x:v>
      </x:c>
      <x:c r="AL14" s="16" t="n">
        <x:f>IF(M14="Three Phase",U14/3,IF(N14="Y",U14,0))</x:f>
        <x:v>0.8213760000000001</x:v>
      </x:c>
      <x:c r="AM14" s="16" t="n">
        <x:f>IF(M14="Three Phase",V14/3,IF(N14="Y",V14,0))</x:f>
        <x:v>0.32203865950872484</x:v>
      </x:c>
      <x:c r="AN14" s="16" t="n">
        <x:f>IF(M14="Three Phase",U14/3,IF(N14="B",U14,0))</x:f>
        <x:v>0</x:v>
      </x:c>
      <x:c r="AO14" s="16" t="n">
        <x:f>IF(M14="Three Phase",V14/3,IF(N14="B",V14,0))</x:f>
        <x:v>0</x:v>
      </x:c>
    </x:row>
    <x:row r="15">
      <x:c r="A15" s="13" t="str">
        <x:v>C0014</x:v>
      </x:c>
      <x:c r="B15" s="13" t="str">
        <x:v>DT-2</x:v>
      </x:c>
      <x:c r="C15" s="13" t="str">
        <x:v>Residential</x:v>
      </x:c>
      <x:c r="D15" s="16" t="n">
        <x:v>4.5</x:v>
      </x:c>
      <x:c r="E15" s="16" t="n">
        <x:v>0.736</x:v>
      </x:c>
      <x:c r="F15" s="16" t="n">
        <x:f>D15*E15</x:f>
        <x:v>3.312</x:v>
      </x:c>
      <x:c r="G15" s="16" t="n">
        <x:v>0.915</x:v>
      </x:c>
      <x:c r="H15" s="16" t="n">
        <x:f>F15/G15</x:f>
        <x:v>3.619672131147541</x:v>
      </x:c>
      <x:c r="I15" s="16" t="n">
        <x:v>0.716</x:v>
      </x:c>
      <x:c r="J15" s="16" t="n">
        <x:f>F15*I15</x:f>
        <x:v>2.3713919999999997</x:v>
      </x:c>
      <x:c r="K15" s="16" t="n">
        <x:f>J15*TAN(ACOS(G15))</x:f>
        <x:v>1.0456253612839734</x:v>
      </x:c>
      <x:c r="L15" s="16" t="n">
        <x:f>SQRT(J15^2+K15^2)</x:f>
        <x:v>2.591685245901639</x:v>
      </x:c>
      <x:c r="M15" s="16" t="str">
        <x:v>Single Phase</x:v>
      </x:c>
      <x:c r="N15" s="16" t="str">
        <x:v>R</x:v>
      </x:c>
      <x:c r="O15" s="16" t="str">
        <x:v>No</x:v>
      </x:c>
      <x:c r="P15" s="16" t="n">
        <x:v>0</x:v>
      </x:c>
      <x:c r="Q15" s="16" t="n">
        <x:v>0.259</x:v>
      </x:c>
      <x:c r="R15" s="16" t="n">
        <x:v>0</x:v>
      </x:c>
      <x:c r="S15" s="16" t="n">
        <x:f>F15*Q15</x:f>
        <x:v>0.857808</x:v>
      </x:c>
      <x:c r="T15" s="16" t="n">
        <x:f>IF(O15="Yes",P15*R15,0)</x:f>
        <x:v>0</x:v>
      </x:c>
      <x:c r="U15" s="16" t="n">
        <x:f>S15-T15</x:f>
        <x:v>0.857808</x:v>
      </x:c>
      <x:c r="V15" s="16" t="n">
        <x:f>S15*TAN(ACOS(G15))</x:f>
        <x:v>0.37823598962646526</x:v>
      </x:c>
      <x:c r="W15" s="16" t="n">
        <x:f>SQRT(U15^2+V15^2)</x:f>
        <x:v>0.9374950819672131</x:v>
      </x:c>
      <x:c r="X15" s="13" t="str">
        <x:v>No</x:v>
      </x:c>
      <x:c r="Y15" s="13" t="str"/>
      <x:c r="Z15" s="18" t="str"/>
      <x:c r="AA15" s="13" t="str"/>
      <x:c r="AB15" s="18" t="str"/>
      <x:c r="AC15" s="13" t="str">
        <x:v>Yes</x:v>
      </x:c>
      <x:c r="AD15" s="16" t="n">
        <x:f>IF(M15="Three Phase",J15/3,IF(N15="R",J15,0))</x:f>
        <x:v>2.3713919999999997</x:v>
      </x:c>
      <x:c r="AE15" s="16" t="n">
        <x:f>IF(M15="Three Phase",K15/3,IF(N15="R",K15,0))</x:f>
        <x:v>1.0456253612839734</x:v>
      </x:c>
      <x:c r="AF15" s="16" t="n">
        <x:f>IF(M15="Three Phase",J15/3,IF(N15="Y",J15,0))</x:f>
        <x:v>0</x:v>
      </x:c>
      <x:c r="AG15" s="16" t="n">
        <x:f>IF(M15="Three Phase",K15/3,IF(N15="Y",K15,0))</x:f>
        <x:v>0</x:v>
      </x:c>
      <x:c r="AH15" s="16" t="n">
        <x:f>IF(M15="Three Phase",J15/3,IF(N15="B",J15,0))</x:f>
        <x:v>0</x:v>
      </x:c>
      <x:c r="AI15" s="16" t="n">
        <x:f>IF(M15="Three Phase",K15/3,IF(N15="B",K15,0))</x:f>
        <x:v>0</x:v>
      </x:c>
      <x:c r="AJ15" s="16" t="n">
        <x:f>IF(M15="Three Phase",U15/3,IF(N15="R",U15,0))</x:f>
        <x:v>0.857808</x:v>
      </x:c>
      <x:c r="AK15" s="16" t="n">
        <x:f>IF(M15="Three Phase",V15/3,IF(N15="R",V15,0))</x:f>
        <x:v>0.37823598962646526</x:v>
      </x:c>
      <x:c r="AL15" s="16" t="n">
        <x:f>IF(M15="Three Phase",U15/3,IF(N15="Y",U15,0))</x:f>
        <x:v>0</x:v>
      </x:c>
      <x:c r="AM15" s="16" t="n">
        <x:f>IF(M15="Three Phase",V15/3,IF(N15="Y",V15,0))</x:f>
        <x:v>0</x:v>
      </x:c>
      <x:c r="AN15" s="16" t="n">
        <x:f>IF(M15="Three Phase",U15/3,IF(N15="B",U15,0))</x:f>
        <x:v>0</x:v>
      </x:c>
      <x:c r="AO15" s="16" t="n">
        <x:f>IF(M15="Three Phase",V15/3,IF(N15="B",V15,0))</x:f>
        <x:v>0</x:v>
      </x:c>
    </x:row>
    <x:row r="16">
      <x:c r="A16" s="13" t="str">
        <x:v>C0015</x:v>
      </x:c>
      <x:c r="B16" s="13" t="str">
        <x:v>DT-2</x:v>
      </x:c>
      <x:c r="C16" s="13" t="str">
        <x:v>Commercial</x:v>
      </x:c>
      <x:c r="D16" s="16" t="n">
        <x:v>9.5</x:v>
      </x:c>
      <x:c r="E16" s="16" t="n">
        <x:v>0.786</x:v>
      </x:c>
      <x:c r="F16" s="16" t="n">
        <x:f>D16*E16</x:f>
        <x:v>7.4670000000000005</x:v>
      </x:c>
      <x:c r="G16" s="16" t="n">
        <x:v>0.977</x:v>
      </x:c>
      <x:c r="H16" s="16" t="n">
        <x:f>F16/G16</x:f>
        <x:v>7.642784032753327</x:v>
      </x:c>
      <x:c r="I16" s="16" t="n">
        <x:v>0.859</x:v>
      </x:c>
      <x:c r="J16" s="16" t="n">
        <x:f>F16*I16</x:f>
        <x:v>6.414153000000001</x:v>
      </x:c>
      <x:c r="K16" s="16" t="n">
        <x:f>J16*TAN(ACOS(G16))</x:f>
        <x:v>1.3999483212720412</x:v>
      </x:c>
      <x:c r="L16" s="16" t="n">
        <x:f>SQRT(J16^2+K16^2)</x:f>
        <x:v>6.565151484135108</x:v>
      </x:c>
      <x:c r="M16" s="16" t="str">
        <x:v>Three Phase</x:v>
      </x:c>
      <x:c r="N16" s="16" t="str">
        <x:v>RYB</x:v>
      </x:c>
      <x:c r="O16" s="16" t="str">
        <x:v>No</x:v>
      </x:c>
      <x:c r="P16" s="16" t="n">
        <x:v>0</x:v>
      </x:c>
      <x:c r="Q16" s="16" t="n">
        <x:v>0.729</x:v>
      </x:c>
      <x:c r="R16" s="16" t="n">
        <x:v>0</x:v>
      </x:c>
      <x:c r="S16" s="16" t="n">
        <x:f>F16*Q16</x:f>
        <x:v>5.443443</x:v>
      </x:c>
      <x:c r="T16" s="16" t="n">
        <x:f>IF(O16="Yes",P16*R16,0)</x:f>
        <x:v>0</x:v>
      </x:c>
      <x:c r="U16" s="16" t="n">
        <x:f>S16-T16</x:f>
        <x:v>5.443443</x:v>
      </x:c>
      <x:c r="V16" s="16" t="n">
        <x:f>S16*TAN(ACOS(G16))</x:f>
        <x:v>1.1880818698571805</x:v>
      </x:c>
      <x:c r="W16" s="16" t="n">
        <x:f>SQRT(U16^2+V16^2)</x:f>
        <x:v>5.571589559877175</x:v>
      </x:c>
      <x:c r="X16" s="13" t="str">
        <x:v>No</x:v>
      </x:c>
      <x:c r="Y16" s="13" t="str"/>
      <x:c r="Z16" s="18" t="str"/>
      <x:c r="AA16" s="13" t="str"/>
      <x:c r="AB16" s="18" t="str"/>
      <x:c r="AC16" s="13" t="str">
        <x:v>No</x:v>
      </x:c>
      <x:c r="AD16" s="16" t="n">
        <x:f>IF(M16="Three Phase",J16/3,IF(N16="R",J16,0))</x:f>
        <x:v>2.1380510000000004</x:v>
      </x:c>
      <x:c r="AE16" s="16" t="n">
        <x:f>IF(M16="Three Phase",K16/3,IF(N16="R",K16,0))</x:f>
        <x:v>0.46664944042401374</x:v>
      </x:c>
      <x:c r="AF16" s="16" t="n">
        <x:f>IF(M16="Three Phase",J16/3,IF(N16="Y",J16,0))</x:f>
        <x:v>2.1380510000000004</x:v>
      </x:c>
      <x:c r="AG16" s="16" t="n">
        <x:f>IF(M16="Three Phase",K16/3,IF(N16="Y",K16,0))</x:f>
        <x:v>0.46664944042401374</x:v>
      </x:c>
      <x:c r="AH16" s="16" t="n">
        <x:f>IF(M16="Three Phase",J16/3,IF(N16="B",J16,0))</x:f>
        <x:v>2.1380510000000004</x:v>
      </x:c>
      <x:c r="AI16" s="16" t="n">
        <x:f>IF(M16="Three Phase",K16/3,IF(N16="B",K16,0))</x:f>
        <x:v>0.46664944042401374</x:v>
      </x:c>
      <x:c r="AJ16" s="16" t="n">
        <x:f>IF(M16="Three Phase",U16/3,IF(N16="R",U16,0))</x:f>
        <x:v>1.814481</x:v>
      </x:c>
      <x:c r="AK16" s="16" t="n">
        <x:f>IF(M16="Three Phase",V16/3,IF(N16="R",V16,0))</x:f>
        <x:v>0.3960272899523935</x:v>
      </x:c>
      <x:c r="AL16" s="16" t="n">
        <x:f>IF(M16="Three Phase",U16/3,IF(N16="Y",U16,0))</x:f>
        <x:v>1.814481</x:v>
      </x:c>
      <x:c r="AM16" s="16" t="n">
        <x:f>IF(M16="Three Phase",V16/3,IF(N16="Y",V16,0))</x:f>
        <x:v>0.3960272899523935</x:v>
      </x:c>
      <x:c r="AN16" s="16" t="n">
        <x:f>IF(M16="Three Phase",U16/3,IF(N16="B",U16,0))</x:f>
        <x:v>1.814481</x:v>
      </x:c>
      <x:c r="AO16" s="16" t="n">
        <x:f>IF(M16="Three Phase",V16/3,IF(N16="B",V16,0))</x:f>
        <x:v>0.3960272899523935</x:v>
      </x:c>
    </x:row>
    <x:row r="17">
      <x:c r="A17" s="13" t="str">
        <x:v>C0016</x:v>
      </x:c>
      <x:c r="B17" s="13" t="str">
        <x:v>DT-2</x:v>
      </x:c>
      <x:c r="C17" s="13" t="str">
        <x:v>Residential</x:v>
      </x:c>
      <x:c r="D17" s="16" t="n">
        <x:v>5</x:v>
      </x:c>
      <x:c r="E17" s="16" t="n">
        <x:v>0.762</x:v>
      </x:c>
      <x:c r="F17" s="16" t="n">
        <x:f>D17*E17</x:f>
        <x:v>3.81</x:v>
      </x:c>
      <x:c r="G17" s="16" t="n">
        <x:v>0.939</x:v>
      </x:c>
      <x:c r="H17" s="16" t="n">
        <x:f>F17/G17</x:f>
        <x:v>4.057507987220448</x:v>
      </x:c>
      <x:c r="I17" s="16" t="n">
        <x:v>0.725</x:v>
      </x:c>
      <x:c r="J17" s="16" t="n">
        <x:f>F17*I17</x:f>
        <x:v>2.76225</x:v>
      </x:c>
      <x:c r="K17" s="16" t="n">
        <x:f>J17*TAN(ACOS(G17))</x:f>
        <x:v>1.0116987467889245</x:v>
      </x:c>
      <x:c r="L17" s="16" t="n">
        <x:f>SQRT(J17^2+K17^2)</x:f>
        <x:v>2.9416932907348246</x:v>
      </x:c>
      <x:c r="M17" s="16" t="str">
        <x:v>Single Phase</x:v>
      </x:c>
      <x:c r="N17" s="16" t="str">
        <x:v>B</x:v>
      </x:c>
      <x:c r="O17" s="16" t="str">
        <x:v>No</x:v>
      </x:c>
      <x:c r="P17" s="16" t="n">
        <x:v>0</x:v>
      </x:c>
      <x:c r="Q17" s="16" t="n">
        <x:v>0.452</x:v>
      </x:c>
      <x:c r="R17" s="16" t="n">
        <x:v>0</x:v>
      </x:c>
      <x:c r="S17" s="16" t="n">
        <x:f>F17*Q17</x:f>
        <x:v>1.72212</x:v>
      </x:c>
      <x:c r="T17" s="16" t="n">
        <x:f>IF(O17="Yes",P17*R17,0)</x:f>
        <x:v>0</x:v>
      </x:c>
      <x:c r="U17" s="16" t="n">
        <x:f>S17-T17</x:f>
        <x:v>1.72212</x:v>
      </x:c>
      <x:c r="V17" s="16" t="n">
        <x:f>S17*TAN(ACOS(G17))</x:f>
        <x:v>0.6307418393773709</x:v>
      </x:c>
      <x:c r="W17" s="16" t="n">
        <x:f>SQRT(U17^2+V17^2)</x:f>
        <x:v>1.8339936102236425</x:v>
      </x:c>
      <x:c r="X17" s="13" t="str">
        <x:v>Yes</x:v>
      </x:c>
      <x:c r="Y17" s="13" t="str">
        <x:v>DT-5</x:v>
      </x:c>
      <x:c r="Z17" s="18" t="n">
        <x:v>86</x:v>
      </x:c>
      <x:c r="AA17" s="13" t="str"/>
      <x:c r="AB17" s="18" t="str"/>
      <x:c r="AC17" s="13" t="str">
        <x:v>Yes</x:v>
      </x:c>
      <x:c r="AD17" s="16" t="n">
        <x:f>IF(M17="Three Phase",J17/3,IF(N17="R",J17,0))</x:f>
        <x:v>0</x:v>
      </x:c>
      <x:c r="AE17" s="16" t="n">
        <x:f>IF(M17="Three Phase",K17/3,IF(N17="R",K17,0))</x:f>
        <x:v>0</x:v>
      </x:c>
      <x:c r="AF17" s="16" t="n">
        <x:f>IF(M17="Three Phase",J17/3,IF(N17="Y",J17,0))</x:f>
        <x:v>0</x:v>
      </x:c>
      <x:c r="AG17" s="16" t="n">
        <x:f>IF(M17="Three Phase",K17/3,IF(N17="Y",K17,0))</x:f>
        <x:v>0</x:v>
      </x:c>
      <x:c r="AH17" s="16" t="n">
        <x:f>IF(M17="Three Phase",J17/3,IF(N17="B",J17,0))</x:f>
        <x:v>2.76225</x:v>
      </x:c>
      <x:c r="AI17" s="16" t="n">
        <x:f>IF(M17="Three Phase",K17/3,IF(N17="B",K17,0))</x:f>
        <x:v>1.0116987467889245</x:v>
      </x:c>
      <x:c r="AJ17" s="16" t="n">
        <x:f>IF(M17="Three Phase",U17/3,IF(N17="R",U17,0))</x:f>
        <x:v>0</x:v>
      </x:c>
      <x:c r="AK17" s="16" t="n">
        <x:f>IF(M17="Three Phase",V17/3,IF(N17="R",V17,0))</x:f>
        <x:v>0</x:v>
      </x:c>
      <x:c r="AL17" s="16" t="n">
        <x:f>IF(M17="Three Phase",U17/3,IF(N17="Y",U17,0))</x:f>
        <x:v>0</x:v>
      </x:c>
      <x:c r="AM17" s="16" t="n">
        <x:f>IF(M17="Three Phase",V17/3,IF(N17="Y",V17,0))</x:f>
        <x:v>0</x:v>
      </x:c>
      <x:c r="AN17" s="16" t="n">
        <x:f>IF(M17="Three Phase",U17/3,IF(N17="B",U17,0))</x:f>
        <x:v>1.72212</x:v>
      </x:c>
      <x:c r="AO17" s="16" t="n">
        <x:f>IF(M17="Three Phase",V17/3,IF(N17="B",V17,0))</x:f>
        <x:v>0.6307418393773709</x:v>
      </x:c>
    </x:row>
    <x:row r="18">
      <x:c r="A18" s="13" t="str">
        <x:v>C0017</x:v>
      </x:c>
      <x:c r="B18" s="13" t="str">
        <x:v>DT-2</x:v>
      </x:c>
      <x:c r="C18" s="13" t="str">
        <x:v>Commercial</x:v>
      </x:c>
      <x:c r="D18" s="16" t="n">
        <x:v>13.5</x:v>
      </x:c>
      <x:c r="E18" s="16" t="n">
        <x:v>0.502</x:v>
      </x:c>
      <x:c r="F18" s="16" t="n">
        <x:f>D18*E18</x:f>
        <x:v>6.777</x:v>
      </x:c>
      <x:c r="G18" s="16" t="n">
        <x:v>0.948</x:v>
      </x:c>
      <x:c r="H18" s="16" t="n">
        <x:f>F18/G18</x:f>
        <x:v>7.14873417721519</x:v>
      </x:c>
      <x:c r="I18" s="16" t="n">
        <x:v>0.712</x:v>
      </x:c>
      <x:c r="J18" s="16" t="n">
        <x:f>F18*I18</x:f>
        <x:v>4.8252239999999995</x:v>
      </x:c>
      <x:c r="K18" s="16" t="n">
        <x:f>J18*TAN(ACOS(G18))</x:f>
        <x:v>1.619963726137971</x:v>
      </x:c>
      <x:c r="L18" s="16" t="n">
        <x:f>SQRT(J18^2+K18^2)</x:f>
        <x:v>5.089898734177215</x:v>
      </x:c>
      <x:c r="M18" s="16" t="str">
        <x:v>Three Phase</x:v>
      </x:c>
      <x:c r="N18" s="16" t="str">
        <x:v>RYB</x:v>
      </x:c>
      <x:c r="O18" s="16" t="str">
        <x:v>No</x:v>
      </x:c>
      <x:c r="P18" s="16" t="n">
        <x:v>0</x:v>
      </x:c>
      <x:c r="Q18" s="16" t="n">
        <x:v>0.485</x:v>
      </x:c>
      <x:c r="R18" s="16" t="n">
        <x:v>0</x:v>
      </x:c>
      <x:c r="S18" s="16" t="n">
        <x:f>F18*Q18</x:f>
        <x:v>3.286845</x:v>
      </x:c>
      <x:c r="T18" s="16" t="n">
        <x:f>IF(O18="Yes",P18*R18,0)</x:f>
        <x:v>0</x:v>
      </x:c>
      <x:c r="U18" s="16" t="n">
        <x:f>S18-T18</x:f>
        <x:v>3.286845</x:v>
      </x:c>
      <x:c r="V18" s="16" t="n">
        <x:f>S18*TAN(ACOS(G18))</x:f>
        <x:v>1.1034865269338707</x:v>
      </x:c>
      <x:c r="W18" s="16" t="n">
        <x:f>SQRT(U18^2+V18^2)</x:f>
        <x:v>3.4671360759493672</x:v>
      </x:c>
      <x:c r="X18" s="13" t="str">
        <x:v>No</x:v>
      </x:c>
      <x:c r="Y18" s="13" t="str"/>
      <x:c r="Z18" s="18" t="str"/>
      <x:c r="AA18" s="13" t="str"/>
      <x:c r="AB18" s="18" t="str"/>
      <x:c r="AC18" s="13" t="str">
        <x:v>No</x:v>
      </x:c>
      <x:c r="AD18" s="16" t="n">
        <x:f>IF(M18="Three Phase",J18/3,IF(N18="R",J18,0))</x:f>
        <x:v>1.6084079999999998</x:v>
      </x:c>
      <x:c r="AE18" s="16" t="n">
        <x:f>IF(M18="Three Phase",K18/3,IF(N18="R",K18,0))</x:f>
        <x:v>0.539987908712657</x:v>
      </x:c>
      <x:c r="AF18" s="16" t="n">
        <x:f>IF(M18="Three Phase",J18/3,IF(N18="Y",J18,0))</x:f>
        <x:v>1.6084079999999998</x:v>
      </x:c>
      <x:c r="AG18" s="16" t="n">
        <x:f>IF(M18="Three Phase",K18/3,IF(N18="Y",K18,0))</x:f>
        <x:v>0.539987908712657</x:v>
      </x:c>
      <x:c r="AH18" s="16" t="n">
        <x:f>IF(M18="Three Phase",J18/3,IF(N18="B",J18,0))</x:f>
        <x:v>1.6084079999999998</x:v>
      </x:c>
      <x:c r="AI18" s="16" t="n">
        <x:f>IF(M18="Three Phase",K18/3,IF(N18="B",K18,0))</x:f>
        <x:v>0.539987908712657</x:v>
      </x:c>
      <x:c r="AJ18" s="16" t="n">
        <x:f>IF(M18="Three Phase",U18/3,IF(N18="R",U18,0))</x:f>
        <x:v>1.095615</x:v>
      </x:c>
      <x:c r="AK18" s="16" t="n">
        <x:f>IF(M18="Three Phase",V18/3,IF(N18="R",V18,0))</x:f>
        <x:v>0.36782884231129026</x:v>
      </x:c>
      <x:c r="AL18" s="16" t="n">
        <x:f>IF(M18="Three Phase",U18/3,IF(N18="Y",U18,0))</x:f>
        <x:v>1.095615</x:v>
      </x:c>
      <x:c r="AM18" s="16" t="n">
        <x:f>IF(M18="Three Phase",V18/3,IF(N18="Y",V18,0))</x:f>
        <x:v>0.36782884231129026</x:v>
      </x:c>
      <x:c r="AN18" s="16" t="n">
        <x:f>IF(M18="Three Phase",U18/3,IF(N18="B",U18,0))</x:f>
        <x:v>1.095615</x:v>
      </x:c>
      <x:c r="AO18" s="16" t="n">
        <x:f>IF(M18="Three Phase",V18/3,IF(N18="B",V18,0))</x:f>
        <x:v>0.36782884231129026</x:v>
      </x:c>
    </x:row>
    <x:row r="19">
      <x:c r="A19" s="13" t="str">
        <x:v>C0018</x:v>
      </x:c>
      <x:c r="B19" s="13" t="str">
        <x:v>DT-2</x:v>
      </x:c>
      <x:c r="C19" s="13" t="str">
        <x:v>Residential</x:v>
      </x:c>
      <x:c r="D19" s="16" t="n">
        <x:v>7</x:v>
      </x:c>
      <x:c r="E19" s="16" t="n">
        <x:v>0.612</x:v>
      </x:c>
      <x:c r="F19" s="16" t="n">
        <x:f>D19*E19</x:f>
        <x:v>4.284</x:v>
      </x:c>
      <x:c r="G19" s="16" t="n">
        <x:v>0.937</x:v>
      </x:c>
      <x:c r="H19" s="16" t="n">
        <x:f>F19/G19</x:f>
        <x:v>4.572038420490928</x:v>
      </x:c>
      <x:c r="I19" s="16" t="n">
        <x:v>0.784</x:v>
      </x:c>
      <x:c r="J19" s="16" t="n">
        <x:f>F19*I19</x:f>
        <x:v>3.358656</x:v>
      </x:c>
      <x:c r="K19" s="16" t="n">
        <x:f>J19*TAN(ACOS(G19))</x:f>
        <x:v>1.2521634391557044</x:v>
      </x:c>
      <x:c r="L19" s="16" t="n">
        <x:f>SQRT(J19^2+K19^2)</x:f>
        <x:v>3.5844781216648878</x:v>
      </x:c>
      <x:c r="M19" s="16" t="str">
        <x:v>Three Phase</x:v>
      </x:c>
      <x:c r="N19" s="16" t="str">
        <x:v>RYB</x:v>
      </x:c>
      <x:c r="O19" s="16" t="str">
        <x:v>No</x:v>
      </x:c>
      <x:c r="P19" s="16" t="n">
        <x:v>0</x:v>
      </x:c>
      <x:c r="Q19" s="16" t="n">
        <x:v>0.398</x:v>
      </x:c>
      <x:c r="R19" s="16" t="n">
        <x:v>0</x:v>
      </x:c>
      <x:c r="S19" s="16" t="n">
        <x:f>F19*Q19</x:f>
        <x:v>1.705032</x:v>
      </x:c>
      <x:c r="T19" s="16" t="n">
        <x:f>IF(O19="Yes",P19*R19,0)</x:f>
        <x:v>0</x:v>
      </x:c>
      <x:c r="U19" s="16" t="n">
        <x:f>S19-T19</x:f>
        <x:v>1.705032</x:v>
      </x:c>
      <x:c r="V19" s="16" t="n">
        <x:f>S19*TAN(ACOS(G19))</x:f>
        <x:v>0.6356646030407785</x:v>
      </x:c>
      <x:c r="W19" s="16" t="n">
        <x:f>SQRT(U19^2+V19^2)</x:f>
        <x:v>1.8196712913553896</x:v>
      </x:c>
      <x:c r="X19" s="13" t="str">
        <x:v>No</x:v>
      </x:c>
      <x:c r="Y19" s="13" t="str"/>
      <x:c r="Z19" s="18" t="str"/>
      <x:c r="AA19" s="13" t="str"/>
      <x:c r="AB19" s="18" t="str"/>
      <x:c r="AC19" s="13" t="str">
        <x:v>No</x:v>
      </x:c>
      <x:c r="AD19" s="16" t="n">
        <x:f>IF(M19="Three Phase",J19/3,IF(N19="R",J19,0))</x:f>
        <x:v>1.1195519999999999</x:v>
      </x:c>
      <x:c r="AE19" s="16" t="n">
        <x:f>IF(M19="Three Phase",K19/3,IF(N19="R",K19,0))</x:f>
        <x:v>0.4173878130519015</x:v>
      </x:c>
      <x:c r="AF19" s="16" t="n">
        <x:f>IF(M19="Three Phase",J19/3,IF(N19="Y",J19,0))</x:f>
        <x:v>1.1195519999999999</x:v>
      </x:c>
      <x:c r="AG19" s="16" t="n">
        <x:f>IF(M19="Three Phase",K19/3,IF(N19="Y",K19,0))</x:f>
        <x:v>0.4173878130519015</x:v>
      </x:c>
      <x:c r="AH19" s="16" t="n">
        <x:f>IF(M19="Three Phase",J19/3,IF(N19="B",J19,0))</x:f>
        <x:v>1.1195519999999999</x:v>
      </x:c>
      <x:c r="AI19" s="16" t="n">
        <x:f>IF(M19="Three Phase",K19/3,IF(N19="B",K19,0))</x:f>
        <x:v>0.4173878130519015</x:v>
      </x:c>
      <x:c r="AJ19" s="16" t="n">
        <x:f>IF(M19="Three Phase",U19/3,IF(N19="R",U19,0))</x:f>
        <x:v>0.5683440000000001</x:v>
      </x:c>
      <x:c r="AK19" s="16" t="n">
        <x:f>IF(M19="Three Phase",V19/3,IF(N19="R",V19,0))</x:f>
        <x:v>0.21188820101359285</x:v>
      </x:c>
      <x:c r="AL19" s="16" t="n">
        <x:f>IF(M19="Three Phase",U19/3,IF(N19="Y",U19,0))</x:f>
        <x:v>0.5683440000000001</x:v>
      </x:c>
      <x:c r="AM19" s="16" t="n">
        <x:f>IF(M19="Three Phase",V19/3,IF(N19="Y",V19,0))</x:f>
        <x:v>0.21188820101359285</x:v>
      </x:c>
      <x:c r="AN19" s="16" t="n">
        <x:f>IF(M19="Three Phase",U19/3,IF(N19="B",U19,0))</x:f>
        <x:v>0.5683440000000001</x:v>
      </x:c>
      <x:c r="AO19" s="16" t="n">
        <x:f>IF(M19="Three Phase",V19/3,IF(N19="B",V19,0))</x:f>
        <x:v>0.21188820101359285</x:v>
      </x:c>
    </x:row>
    <x:row r="20">
      <x:c r="A20" s="13" t="str">
        <x:v>C0019</x:v>
      </x:c>
      <x:c r="B20" s="13" t="str">
        <x:v>DT-2</x:v>
      </x:c>
      <x:c r="C20" s="13" t="str">
        <x:v>Residential</x:v>
      </x:c>
      <x:c r="D20" s="16" t="n">
        <x:v>4</x:v>
      </x:c>
      <x:c r="E20" s="16" t="n">
        <x:v>0.565</x:v>
      </x:c>
      <x:c r="F20" s="16" t="n">
        <x:f>D20*E20</x:f>
        <x:v>2.26</x:v>
      </x:c>
      <x:c r="G20" s="16" t="n">
        <x:v>0.925</x:v>
      </x:c>
      <x:c r="H20" s="16" t="n">
        <x:f>F20/G20</x:f>
        <x:v>2.4432432432432427</x:v>
      </x:c>
      <x:c r="I20" s="16" t="n">
        <x:v>0.78</x:v>
      </x:c>
      <x:c r="J20" s="16" t="n">
        <x:f>F20*I20</x:f>
        <x:v>1.7628</x:v>
      </x:c>
      <x:c r="K20" s="16" t="n">
        <x:f>J20*TAN(ACOS(G20))</x:f>
        <x:v>0.7241146061057934</x:v>
      </x:c>
      <x:c r="L20" s="16" t="n">
        <x:f>SQRT(J20^2+K20^2)</x:f>
        <x:v>1.9057297297297295</x:v>
      </x:c>
      <x:c r="M20" s="16" t="str">
        <x:v>Single Phase</x:v>
      </x:c>
      <x:c r="N20" s="16" t="str">
        <x:v>Y</x:v>
      </x:c>
      <x:c r="O20" s="16" t="str">
        <x:v>No</x:v>
      </x:c>
      <x:c r="P20" s="16" t="n">
        <x:v>0</x:v>
      </x:c>
      <x:c r="Q20" s="16" t="n">
        <x:v>0.224</x:v>
      </x:c>
      <x:c r="R20" s="16" t="n">
        <x:v>0</x:v>
      </x:c>
      <x:c r="S20" s="16" t="n">
        <x:f>F20*Q20</x:f>
        <x:v>0.5062399999999999</x:v>
      </x:c>
      <x:c r="T20" s="16" t="n">
        <x:f>IF(O20="Yes",P20*R20,0)</x:f>
        <x:v>0</x:v>
      </x:c>
      <x:c r="U20" s="16" t="n">
        <x:f>S20-T20</x:f>
        <x:v>0.5062399999999999</x:v>
      </x:c>
      <x:c r="V20" s="16" t="n">
        <x:f>S20*TAN(ACOS(G20))</x:f>
        <x:v>0.20795086124063805</x:v>
      </x:c>
      <x:c r="W20" s="16" t="n">
        <x:f>SQRT(U20^2+V20^2)</x:f>
        <x:v>0.5472864864864864</x:v>
      </x:c>
      <x:c r="X20" s="13" t="str">
        <x:v>No</x:v>
      </x:c>
      <x:c r="Y20" s="13" t="str"/>
      <x:c r="Z20" s="18" t="str"/>
      <x:c r="AA20" s="13" t="str"/>
      <x:c r="AB20" s="18" t="str"/>
      <x:c r="AC20" s="13" t="str">
        <x:v>Yes</x:v>
      </x:c>
      <x:c r="AD20" s="16" t="n">
        <x:f>IF(M20="Three Phase",J20/3,IF(N20="R",J20,0))</x:f>
        <x:v>0</x:v>
      </x:c>
      <x:c r="AE20" s="16" t="n">
        <x:f>IF(M20="Three Phase",K20/3,IF(N20="R",K20,0))</x:f>
        <x:v>0</x:v>
      </x:c>
      <x:c r="AF20" s="16" t="n">
        <x:f>IF(M20="Three Phase",J20/3,IF(N20="Y",J20,0))</x:f>
        <x:v>1.7628</x:v>
      </x:c>
      <x:c r="AG20" s="16" t="n">
        <x:f>IF(M20="Three Phase",K20/3,IF(N20="Y",K20,0))</x:f>
        <x:v>0.7241146061057934</x:v>
      </x:c>
      <x:c r="AH20" s="16" t="n">
        <x:f>IF(M20="Three Phase",J20/3,IF(N20="B",J20,0))</x:f>
        <x:v>0</x:v>
      </x:c>
      <x:c r="AI20" s="16" t="n">
        <x:f>IF(M20="Three Phase",K20/3,IF(N20="B",K20,0))</x:f>
        <x:v>0</x:v>
      </x:c>
      <x:c r="AJ20" s="16" t="n">
        <x:f>IF(M20="Three Phase",U20/3,IF(N20="R",U20,0))</x:f>
        <x:v>0</x:v>
      </x:c>
      <x:c r="AK20" s="16" t="n">
        <x:f>IF(M20="Three Phase",V20/3,IF(N20="R",V20,0))</x:f>
        <x:v>0</x:v>
      </x:c>
      <x:c r="AL20" s="16" t="n">
        <x:f>IF(M20="Three Phase",U20/3,IF(N20="Y",U20,0))</x:f>
        <x:v>0.5062399999999999</x:v>
      </x:c>
      <x:c r="AM20" s="16" t="n">
        <x:f>IF(M20="Three Phase",V20/3,IF(N20="Y",V20,0))</x:f>
        <x:v>0.20795086124063805</x:v>
      </x:c>
      <x:c r="AN20" s="16" t="n">
        <x:f>IF(M20="Three Phase",U20/3,IF(N20="B",U20,0))</x:f>
        <x:v>0</x:v>
      </x:c>
      <x:c r="AO20" s="16" t="n">
        <x:f>IF(M20="Three Phase",V20/3,IF(N20="B",V20,0))</x:f>
        <x:v>0</x:v>
      </x:c>
    </x:row>
    <x:row r="21">
      <x:c r="A21" s="13" t="str">
        <x:v>C0020</x:v>
      </x:c>
      <x:c r="B21" s="13" t="str">
        <x:v>DT-2</x:v>
      </x:c>
      <x:c r="C21" s="13" t="str">
        <x:v>Residential</x:v>
      </x:c>
      <x:c r="D21" s="16" t="n">
        <x:v>6.5</x:v>
      </x:c>
      <x:c r="E21" s="16" t="n">
        <x:v>0.519</x:v>
      </x:c>
      <x:c r="F21" s="16" t="n">
        <x:f>D21*E21</x:f>
        <x:v>3.3735</x:v>
      </x:c>
      <x:c r="G21" s="16" t="n">
        <x:v>0.946</x:v>
      </x:c>
      <x:c r="H21" s="16" t="n">
        <x:f>F21/G21</x:f>
        <x:v>3.5660676532769555</x:v>
      </x:c>
      <x:c r="I21" s="16" t="n">
        <x:v>0.927</x:v>
      </x:c>
      <x:c r="J21" s="16" t="n">
        <x:f>F21*I21</x:f>
        <x:v>3.1272345</x:v>
      </x:c>
      <x:c r="K21" s="16" t="n">
        <x:f>J21*TAN(ACOS(G21))</x:f>
        <x:v>1.0716121033445432</x:v>
      </x:c>
      <x:c r="L21" s="16" t="n">
        <x:f>SQRT(J21^2+K21^2)</x:f>
        <x:v>3.305744714587738</x:v>
      </x:c>
      <x:c r="M21" s="16" t="str">
        <x:v>Three Phase</x:v>
      </x:c>
      <x:c r="N21" s="16" t="str">
        <x:v>RYB</x:v>
      </x:c>
      <x:c r="O21" s="16" t="str">
        <x:v>No</x:v>
      </x:c>
      <x:c r="P21" s="16" t="n">
        <x:v>0</x:v>
      </x:c>
      <x:c r="Q21" s="16" t="n">
        <x:v>0.206</x:v>
      </x:c>
      <x:c r="R21" s="16" t="n">
        <x:v>0</x:v>
      </x:c>
      <x:c r="S21" s="16" t="n">
        <x:f>F21*Q21</x:f>
        <x:v>0.6949409999999999</x:v>
      </x:c>
      <x:c r="T21" s="16" t="n">
        <x:f>IF(O21="Yes",P21*R21,0)</x:f>
        <x:v>0</x:v>
      </x:c>
      <x:c r="U21" s="16" t="n">
        <x:f>S21-T21</x:f>
        <x:v>0.6949409999999999</x:v>
      </x:c>
      <x:c r="V21" s="16" t="n">
        <x:f>S21*TAN(ACOS(G21))</x:f>
        <x:v>0.23813602296545397</x:v>
      </x:c>
      <x:c r="W21" s="16" t="n">
        <x:f>SQRT(U21^2+V21^2)</x:f>
        <x:v>0.7346099365750528</x:v>
      </x:c>
      <x:c r="X21" s="13" t="str">
        <x:v>No</x:v>
      </x:c>
      <x:c r="Y21" s="13" t="str"/>
      <x:c r="Z21" s="18" t="str"/>
      <x:c r="AA21" s="13" t="str"/>
      <x:c r="AB21" s="18" t="str"/>
      <x:c r="AC21" s="13" t="str">
        <x:v>No</x:v>
      </x:c>
      <x:c r="AD21" s="16" t="n">
        <x:f>IF(M21="Three Phase",J21/3,IF(N21="R",J21,0))</x:f>
        <x:v>1.0424115</x:v>
      </x:c>
      <x:c r="AE21" s="16" t="n">
        <x:f>IF(M21="Three Phase",K21/3,IF(N21="R",K21,0))</x:f>
        <x:v>0.35720403444818105</x:v>
      </x:c>
      <x:c r="AF21" s="16" t="n">
        <x:f>IF(M21="Three Phase",J21/3,IF(N21="Y",J21,0))</x:f>
        <x:v>1.0424115</x:v>
      </x:c>
      <x:c r="AG21" s="16" t="n">
        <x:f>IF(M21="Three Phase",K21/3,IF(N21="Y",K21,0))</x:f>
        <x:v>0.35720403444818105</x:v>
      </x:c>
      <x:c r="AH21" s="16" t="n">
        <x:f>IF(M21="Three Phase",J21/3,IF(N21="B",J21,0))</x:f>
        <x:v>1.0424115</x:v>
      </x:c>
      <x:c r="AI21" s="16" t="n">
        <x:f>IF(M21="Three Phase",K21/3,IF(N21="B",K21,0))</x:f>
        <x:v>0.35720403444818105</x:v>
      </x:c>
      <x:c r="AJ21" s="16" t="n">
        <x:f>IF(M21="Three Phase",U21/3,IF(N21="R",U21,0))</x:f>
        <x:v>0.23164699999999996</x:v>
      </x:c>
      <x:c r="AK21" s="16" t="n">
        <x:f>IF(M21="Three Phase",V21/3,IF(N21="R",V21,0))</x:f>
        <x:v>0.07937867432181799</x:v>
      </x:c>
      <x:c r="AL21" s="16" t="n">
        <x:f>IF(M21="Three Phase",U21/3,IF(N21="Y",U21,0))</x:f>
        <x:v>0.23164699999999996</x:v>
      </x:c>
      <x:c r="AM21" s="16" t="n">
        <x:f>IF(M21="Three Phase",V21/3,IF(N21="Y",V21,0))</x:f>
        <x:v>0.07937867432181799</x:v>
      </x:c>
      <x:c r="AN21" s="16" t="n">
        <x:f>IF(M21="Three Phase",U21/3,IF(N21="B",U21,0))</x:f>
        <x:v>0.23164699999999996</x:v>
      </x:c>
      <x:c r="AO21" s="16" t="n">
        <x:f>IF(M21="Three Phase",V21/3,IF(N21="B",V21,0))</x:f>
        <x:v>0.07937867432181799</x:v>
      </x:c>
    </x:row>
    <x:row r="22">
      <x:c r="A22" s="13" t="str">
        <x:v>C0021</x:v>
      </x:c>
      <x:c r="B22" s="13" t="str">
        <x:v>DT-2</x:v>
      </x:c>
      <x:c r="C22" s="13" t="str">
        <x:v>Residential</x:v>
      </x:c>
      <x:c r="D22" s="16" t="n">
        <x:v>2.5</x:v>
      </x:c>
      <x:c r="E22" s="16" t="n">
        <x:v>0.739</x:v>
      </x:c>
      <x:c r="F22" s="16" t="n">
        <x:f>D22*E22</x:f>
        <x:v>1.8475</x:v>
      </x:c>
      <x:c r="G22" s="16" t="n">
        <x:v>0.988</x:v>
      </x:c>
      <x:c r="H22" s="16" t="n">
        <x:f>F22/G22</x:f>
        <x:v>1.8699392712550607</x:v>
      </x:c>
      <x:c r="I22" s="16" t="n">
        <x:v>0.942</x:v>
      </x:c>
      <x:c r="J22" s="16" t="n">
        <x:f>F22*I22</x:f>
        <x:v>1.7403449999999998</x:v>
      </x:c>
      <x:c r="K22" s="16" t="n">
        <x:f>J22*TAN(ACOS(G22))</x:f>
        <x:v>0.2720678460421413</x:v>
      </x:c>
      <x:c r="L22" s="16" t="n">
        <x:f>SQRT(J22^2+K22^2)</x:f>
        <x:v>1.761482793522267</x:v>
      </x:c>
      <x:c r="M22" s="16" t="str">
        <x:v>Single Phase</x:v>
      </x:c>
      <x:c r="N22" s="16" t="str">
        <x:v>R</x:v>
      </x:c>
      <x:c r="O22" s="16" t="str">
        <x:v>No</x:v>
      </x:c>
      <x:c r="P22" s="16" t="n">
        <x:v>0</x:v>
      </x:c>
      <x:c r="Q22" s="16" t="n">
        <x:v>0.406</x:v>
      </x:c>
      <x:c r="R22" s="16" t="n">
        <x:v>0</x:v>
      </x:c>
      <x:c r="S22" s="16" t="n">
        <x:f>F22*Q22</x:f>
        <x:v>0.750085</x:v>
      </x:c>
      <x:c r="T22" s="16" t="n">
        <x:f>IF(O22="Yes",P22*R22,0)</x:f>
        <x:v>0</x:v>
      </x:c>
      <x:c r="U22" s="16" t="n">
        <x:f>S22-T22</x:f>
        <x:v>0.750085</x:v>
      </x:c>
      <x:c r="V22" s="16" t="n">
        <x:f>S22*TAN(ACOS(G22))</x:f>
        <x:v>0.11726066400542398</x:v>
      </x:c>
      <x:c r="W22" s="16" t="n">
        <x:f>SQRT(U22^2+V22^2)</x:f>
        <x:v>0.7591953441295546</x:v>
      </x:c>
      <x:c r="X22" s="13" t="str">
        <x:v>No</x:v>
      </x:c>
      <x:c r="Y22" s="13" t="str"/>
      <x:c r="Z22" s="18" t="str"/>
      <x:c r="AA22" s="13" t="str"/>
      <x:c r="AB22" s="18" t="str"/>
      <x:c r="AC22" s="13" t="str">
        <x:v>Yes</x:v>
      </x:c>
      <x:c r="AD22" s="16" t="n">
        <x:f>IF(M22="Three Phase",J22/3,IF(N22="R",J22,0))</x:f>
        <x:v>1.7403449999999998</x:v>
      </x:c>
      <x:c r="AE22" s="16" t="n">
        <x:f>IF(M22="Three Phase",K22/3,IF(N22="R",K22,0))</x:f>
        <x:v>0.2720678460421413</x:v>
      </x:c>
      <x:c r="AF22" s="16" t="n">
        <x:f>IF(M22="Three Phase",J22/3,IF(N22="Y",J22,0))</x:f>
        <x:v>0</x:v>
      </x:c>
      <x:c r="AG22" s="16" t="n">
        <x:f>IF(M22="Three Phase",K22/3,IF(N22="Y",K22,0))</x:f>
        <x:v>0</x:v>
      </x:c>
      <x:c r="AH22" s="16" t="n">
        <x:f>IF(M22="Three Phase",J22/3,IF(N22="B",J22,0))</x:f>
        <x:v>0</x:v>
      </x:c>
      <x:c r="AI22" s="16" t="n">
        <x:f>IF(M22="Three Phase",K22/3,IF(N22="B",K22,0))</x:f>
        <x:v>0</x:v>
      </x:c>
      <x:c r="AJ22" s="16" t="n">
        <x:f>IF(M22="Three Phase",U22/3,IF(N22="R",U22,0))</x:f>
        <x:v>0.750085</x:v>
      </x:c>
      <x:c r="AK22" s="16" t="n">
        <x:f>IF(M22="Three Phase",V22/3,IF(N22="R",V22,0))</x:f>
        <x:v>0.11726066400542398</x:v>
      </x:c>
      <x:c r="AL22" s="16" t="n">
        <x:f>IF(M22="Three Phase",U22/3,IF(N22="Y",U22,0))</x:f>
        <x:v>0</x:v>
      </x:c>
      <x:c r="AM22" s="16" t="n">
        <x:f>IF(M22="Three Phase",V22/3,IF(N22="Y",V22,0))</x:f>
        <x:v>0</x:v>
      </x:c>
      <x:c r="AN22" s="16" t="n">
        <x:f>IF(M22="Three Phase",U22/3,IF(N22="B",U22,0))</x:f>
        <x:v>0</x:v>
      </x:c>
      <x:c r="AO22" s="16" t="n">
        <x:f>IF(M22="Three Phase",V22/3,IF(N22="B",V22,0))</x:f>
        <x:v>0</x:v>
      </x:c>
    </x:row>
    <x:row r="23">
      <x:c r="A23" s="13" t="str">
        <x:v>C0022</x:v>
      </x:c>
      <x:c r="B23" s="13" t="str">
        <x:v>DT-2</x:v>
      </x:c>
      <x:c r="C23" s="13" t="str">
        <x:v>Residential</x:v>
      </x:c>
      <x:c r="D23" s="16" t="n">
        <x:v>2.5</x:v>
      </x:c>
      <x:c r="E23" s="16" t="n">
        <x:v>0.489</x:v>
      </x:c>
      <x:c r="F23" s="16" t="n">
        <x:f>D23*E23</x:f>
        <x:v>1.2225</x:v>
      </x:c>
      <x:c r="G23" s="16" t="n">
        <x:v>0.914</x:v>
      </x:c>
      <x:c r="H23" s="16" t="n">
        <x:f>F23/G23</x:f>
        <x:v>1.3375273522975928</x:v>
      </x:c>
      <x:c r="I23" s="16" t="n">
        <x:v>0.743</x:v>
      </x:c>
      <x:c r="J23" s="16" t="n">
        <x:f>F23*I23</x:f>
        <x:v>0.9083174999999999</x:v>
      </x:c>
      <x:c r="K23" s="16" t="n">
        <x:f>J23*TAN(ACOS(G23))</x:f>
        <x:v>0.4031917881118644</x:v>
      </x:c>
      <x:c r="L23" s="16" t="n">
        <x:f>SQRT(J23^2+K23^2)</x:f>
        <x:v>0.9937828227571114</x:v>
      </x:c>
      <x:c r="M23" s="16" t="str">
        <x:v>Single Phase</x:v>
      </x:c>
      <x:c r="N23" s="16" t="str">
        <x:v>Y</x:v>
      </x:c>
      <x:c r="O23" s="16" t="str">
        <x:v>No</x:v>
      </x:c>
      <x:c r="P23" s="16" t="n">
        <x:v>0</x:v>
      </x:c>
      <x:c r="Q23" s="16" t="n">
        <x:v>0.352</x:v>
      </x:c>
      <x:c r="R23" s="16" t="n">
        <x:v>0</x:v>
      </x:c>
      <x:c r="S23" s="16" t="n">
        <x:f>F23*Q23</x:f>
        <x:v>0.4303199999999999</x:v>
      </x:c>
      <x:c r="T23" s="16" t="n">
        <x:f>IF(O23="Yes",P23*R23,0)</x:f>
        <x:v>0</x:v>
      </x:c>
      <x:c r="U23" s="16" t="n">
        <x:f>S23-T23</x:f>
        <x:v>0.4303199999999999</x:v>
      </x:c>
      <x:c r="V23" s="16" t="n">
        <x:f>S23*TAN(ACOS(G23))</x:f>
        <x:v>0.19101414456982</x:v>
      </x:c>
      <x:c r="W23" s="16" t="n">
        <x:f>SQRT(U23^2+V23^2)</x:f>
        <x:v>0.47080962800875265</x:v>
      </x:c>
      <x:c r="X23" s="13" t="str">
        <x:v>No</x:v>
      </x:c>
      <x:c r="Y23" s="13" t="str"/>
      <x:c r="Z23" s="18" t="str"/>
      <x:c r="AA23" s="13" t="str"/>
      <x:c r="AB23" s="18" t="str"/>
      <x:c r="AC23" s="13" t="str">
        <x:v>Yes</x:v>
      </x:c>
      <x:c r="AD23" s="16" t="n">
        <x:f>IF(M23="Three Phase",J23/3,IF(N23="R",J23,0))</x:f>
        <x:v>0</x:v>
      </x:c>
      <x:c r="AE23" s="16" t="n">
        <x:f>IF(M23="Three Phase",K23/3,IF(N23="R",K23,0))</x:f>
        <x:v>0</x:v>
      </x:c>
      <x:c r="AF23" s="16" t="n">
        <x:f>IF(M23="Three Phase",J23/3,IF(N23="Y",J23,0))</x:f>
        <x:v>0.9083174999999999</x:v>
      </x:c>
      <x:c r="AG23" s="16" t="n">
        <x:f>IF(M23="Three Phase",K23/3,IF(N23="Y",K23,0))</x:f>
        <x:v>0.4031917881118644</x:v>
      </x:c>
      <x:c r="AH23" s="16" t="n">
        <x:f>IF(M23="Three Phase",J23/3,IF(N23="B",J23,0))</x:f>
        <x:v>0</x:v>
      </x:c>
      <x:c r="AI23" s="16" t="n">
        <x:f>IF(M23="Three Phase",K23/3,IF(N23="B",K23,0))</x:f>
        <x:v>0</x:v>
      </x:c>
      <x:c r="AJ23" s="16" t="n">
        <x:f>IF(M23="Three Phase",U23/3,IF(N23="R",U23,0))</x:f>
        <x:v>0</x:v>
      </x:c>
      <x:c r="AK23" s="16" t="n">
        <x:f>IF(M23="Three Phase",V23/3,IF(N23="R",V23,0))</x:f>
        <x:v>0</x:v>
      </x:c>
      <x:c r="AL23" s="16" t="n">
        <x:f>IF(M23="Three Phase",U23/3,IF(N23="Y",U23,0))</x:f>
        <x:v>0.4303199999999999</x:v>
      </x:c>
      <x:c r="AM23" s="16" t="n">
        <x:f>IF(M23="Three Phase",V23/3,IF(N23="Y",V23,0))</x:f>
        <x:v>0.19101414456982</x:v>
      </x:c>
      <x:c r="AN23" s="16" t="n">
        <x:f>IF(M23="Three Phase",U23/3,IF(N23="B",U23,0))</x:f>
        <x:v>0</x:v>
      </x:c>
      <x:c r="AO23" s="16" t="n">
        <x:f>IF(M23="Three Phase",V23/3,IF(N23="B",V23,0))</x:f>
        <x:v>0</x:v>
      </x:c>
    </x:row>
    <x:row r="24">
      <x:c r="A24" s="13" t="str">
        <x:v>C0023</x:v>
      </x:c>
      <x:c r="B24" s="13" t="str">
        <x:v>DT-2</x:v>
      </x:c>
      <x:c r="C24" s="13" t="str">
        <x:v>Commercial</x:v>
      </x:c>
      <x:c r="D24" s="16" t="n">
        <x:v>9</x:v>
      </x:c>
      <x:c r="E24" s="16" t="n">
        <x:v>0.595</x:v>
      </x:c>
      <x:c r="F24" s="16" t="n">
        <x:f>D24*E24</x:f>
        <x:v>5.3549999999999995</x:v>
      </x:c>
      <x:c r="G24" s="16" t="n">
        <x:v>0.956</x:v>
      </x:c>
      <x:c r="H24" s="16" t="n">
        <x:f>F24/G24</x:f>
        <x:v>5.601464435146443</x:v>
      </x:c>
      <x:c r="I24" s="16" t="n">
        <x:v>0.806</x:v>
      </x:c>
      <x:c r="J24" s="16" t="n">
        <x:f>F24*I24</x:f>
        <x:v>4.31613</x:v>
      </x:c>
      <x:c r="K24" s="16" t="n">
        <x:f>J24*TAN(ACOS(G24))</x:f>
        <x:v>1.3244860489816326</x:v>
      </x:c>
      <x:c r="L24" s="16" t="n">
        <x:f>SQRT(J24^2+K24^2)</x:f>
        <x:v>4.514780334728034</x:v>
      </x:c>
      <x:c r="M24" s="16" t="str">
        <x:v>Three Phase</x:v>
      </x:c>
      <x:c r="N24" s="16" t="str">
        <x:v>RYB</x:v>
      </x:c>
      <x:c r="O24" s="16" t="str">
        <x:v>Yes</x:v>
      </x:c>
      <x:c r="P24" s="16" t="n">
        <x:v>5</x:v>
      </x:c>
      <x:c r="Q24" s="16" t="n">
        <x:v>0.552</x:v>
      </x:c>
      <x:c r="R24" s="16" t="n">
        <x:v>0.776</x:v>
      </x:c>
      <x:c r="S24" s="16" t="n">
        <x:f>F24*Q24</x:f>
        <x:v>2.95596</x:v>
      </x:c>
      <x:c r="T24" s="16" t="n">
        <x:f>IF(O24="Yes",P24*R24,0)</x:f>
        <x:v>3.88</x:v>
      </x:c>
      <x:c r="U24" s="16" t="n">
        <x:f>S24-T24</x:f>
        <x:v>-0.9240399999999998</x:v>
      </x:c>
      <x:c r="V24" s="16" t="n">
        <x:f>S24*TAN(ACOS(G24))</x:f>
        <x:v>0.9070921824291082</x:v>
      </x:c>
      <x:c r="W24" s="16" t="n">
        <x:f>SQRT(U24^2+V24^2)</x:f>
        <x:v>1.2948614400869314</x:v>
      </x:c>
      <x:c r="X24" s="13" t="str">
        <x:v>No</x:v>
      </x:c>
      <x:c r="Y24" s="13" t="str"/>
      <x:c r="Z24" s="18" t="str"/>
      <x:c r="AA24" s="13" t="str"/>
      <x:c r="AB24" s="18" t="str"/>
      <x:c r="AC24" s="13" t="str">
        <x:v>No</x:v>
      </x:c>
      <x:c r="AD24" s="16" t="n">
        <x:f>IF(M24="Three Phase",J24/3,IF(N24="R",J24,0))</x:f>
        <x:v>1.4387100000000002</x:v>
      </x:c>
      <x:c r="AE24" s="16" t="n">
        <x:f>IF(M24="Three Phase",K24/3,IF(N24="R",K24,0))</x:f>
        <x:v>0.4414953496605442</x:v>
      </x:c>
      <x:c r="AF24" s="16" t="n">
        <x:f>IF(M24="Three Phase",J24/3,IF(N24="Y",J24,0))</x:f>
        <x:v>1.4387100000000002</x:v>
      </x:c>
      <x:c r="AG24" s="16" t="n">
        <x:f>IF(M24="Three Phase",K24/3,IF(N24="Y",K24,0))</x:f>
        <x:v>0.4414953496605442</x:v>
      </x:c>
      <x:c r="AH24" s="16" t="n">
        <x:f>IF(M24="Three Phase",J24/3,IF(N24="B",J24,0))</x:f>
        <x:v>1.4387100000000002</x:v>
      </x:c>
      <x:c r="AI24" s="16" t="n">
        <x:f>IF(M24="Three Phase",K24/3,IF(N24="B",K24,0))</x:f>
        <x:v>0.4414953496605442</x:v>
      </x:c>
      <x:c r="AJ24" s="16" t="n">
        <x:f>IF(M24="Three Phase",U24/3,IF(N24="R",U24,0))</x:f>
        <x:v>-0.30801333333333325</x:v>
      </x:c>
      <x:c r="AK24" s="16" t="n">
        <x:f>IF(M24="Three Phase",V24/3,IF(N24="R",V24,0))</x:f>
        <x:v>0.30236406080970274</x:v>
      </x:c>
      <x:c r="AL24" s="16" t="n">
        <x:f>IF(M24="Three Phase",U24/3,IF(N24="Y",U24,0))</x:f>
        <x:v>-0.30801333333333325</x:v>
      </x:c>
      <x:c r="AM24" s="16" t="n">
        <x:f>IF(M24="Three Phase",V24/3,IF(N24="Y",V24,0))</x:f>
        <x:v>0.30236406080970274</x:v>
      </x:c>
      <x:c r="AN24" s="16" t="n">
        <x:f>IF(M24="Three Phase",U24/3,IF(N24="B",U24,0))</x:f>
        <x:v>-0.30801333333333325</x:v>
      </x:c>
      <x:c r="AO24" s="16" t="n">
        <x:f>IF(M24="Three Phase",V24/3,IF(N24="B",V24,0))</x:f>
        <x:v>0.30236406080970274</x:v>
      </x:c>
    </x:row>
    <x:row r="25">
      <x:c r="A25" s="13" t="str">
        <x:v>C0024</x:v>
      </x:c>
      <x:c r="B25" s="13" t="str">
        <x:v>DT-2</x:v>
      </x:c>
      <x:c r="C25" s="13" t="str">
        <x:v>Residential</x:v>
      </x:c>
      <x:c r="D25" s="16" t="n">
        <x:v>1</x:v>
      </x:c>
      <x:c r="E25" s="16" t="n">
        <x:v>0.665</x:v>
      </x:c>
      <x:c r="F25" s="16" t="n">
        <x:f>D25*E25</x:f>
        <x:v>0.665</x:v>
      </x:c>
      <x:c r="G25" s="16" t="n">
        <x:v>0.911</x:v>
      </x:c>
      <x:c r="H25" s="16" t="n">
        <x:f>F25/G25</x:f>
        <x:v>0.7299670691547749</x:v>
      </x:c>
      <x:c r="I25" s="16" t="n">
        <x:v>0.981</x:v>
      </x:c>
      <x:c r="J25" s="16" t="n">
        <x:f>F25*I25</x:f>
        <x:v>0.652365</x:v>
      </x:c>
      <x:c r="K25" s="16" t="n">
        <x:f>J25*TAN(ACOS(G25))</x:f>
        <x:v>0.2953232387255641</x:v>
      </x:c>
      <x:c r="L25" s="16" t="n">
        <x:f>SQRT(J25^2+K25^2)</x:f>
        <x:v>0.7160976948408342</x:v>
      </x:c>
      <x:c r="M25" s="16" t="str">
        <x:v>Single Phase</x:v>
      </x:c>
      <x:c r="N25" s="16" t="str">
        <x:v>B</x:v>
      </x:c>
      <x:c r="O25" s="16" t="str">
        <x:v>No</x:v>
      </x:c>
      <x:c r="P25" s="16" t="n">
        <x:v>0</x:v>
      </x:c>
      <x:c r="Q25" s="16" t="n">
        <x:v>0.248</x:v>
      </x:c>
      <x:c r="R25" s="16" t="n">
        <x:v>0</x:v>
      </x:c>
      <x:c r="S25" s="16" t="n">
        <x:f>F25*Q25</x:f>
        <x:v>0.16492</x:v>
      </x:c>
      <x:c r="T25" s="16" t="n">
        <x:f>IF(O25="Yes",P25*R25,0)</x:f>
        <x:v>0</x:v>
      </x:c>
      <x:c r="U25" s="16" t="n">
        <x:f>S25-T25</x:f>
        <x:v>0.16492</x:v>
      </x:c>
      <x:c r="V25" s="16" t="n">
        <x:f>S25*TAN(ACOS(G25))</x:f>
        <x:v>0.07465867808760439</x:v>
      </x:c>
      <x:c r="W25" s="16" t="n">
        <x:f>SQRT(U25^2+V25^2)</x:f>
        <x:v>0.1810318331503842</x:v>
      </x:c>
      <x:c r="X25" s="13" t="str">
        <x:v>No</x:v>
      </x:c>
      <x:c r="Y25" s="13" t="str"/>
      <x:c r="Z25" s="18" t="str"/>
      <x:c r="AA25" s="13" t="str"/>
      <x:c r="AB25" s="18" t="str"/>
      <x:c r="AC25" s="13" t="str">
        <x:v>No</x:v>
      </x:c>
      <x:c r="AD25" s="16" t="n">
        <x:f>IF(M25="Three Phase",J25/3,IF(N25="R",J25,0))</x:f>
        <x:v>0</x:v>
      </x:c>
      <x:c r="AE25" s="16" t="n">
        <x:f>IF(M25="Three Phase",K25/3,IF(N25="R",K25,0))</x:f>
        <x:v>0</x:v>
      </x:c>
      <x:c r="AF25" s="16" t="n">
        <x:f>IF(M25="Three Phase",J25/3,IF(N25="Y",J25,0))</x:f>
        <x:v>0</x:v>
      </x:c>
      <x:c r="AG25" s="16" t="n">
        <x:f>IF(M25="Three Phase",K25/3,IF(N25="Y",K25,0))</x:f>
        <x:v>0</x:v>
      </x:c>
      <x:c r="AH25" s="16" t="n">
        <x:f>IF(M25="Three Phase",J25/3,IF(N25="B",J25,0))</x:f>
        <x:v>0.652365</x:v>
      </x:c>
      <x:c r="AI25" s="16" t="n">
        <x:f>IF(M25="Three Phase",K25/3,IF(N25="B",K25,0))</x:f>
        <x:v>0.2953232387255641</x:v>
      </x:c>
      <x:c r="AJ25" s="16" t="n">
        <x:f>IF(M25="Three Phase",U25/3,IF(N25="R",U25,0))</x:f>
        <x:v>0</x:v>
      </x:c>
      <x:c r="AK25" s="16" t="n">
        <x:f>IF(M25="Three Phase",V25/3,IF(N25="R",V25,0))</x:f>
        <x:v>0</x:v>
      </x:c>
      <x:c r="AL25" s="16" t="n">
        <x:f>IF(M25="Three Phase",U25/3,IF(N25="Y",U25,0))</x:f>
        <x:v>0</x:v>
      </x:c>
      <x:c r="AM25" s="16" t="n">
        <x:f>IF(M25="Three Phase",V25/3,IF(N25="Y",V25,0))</x:f>
        <x:v>0</x:v>
      </x:c>
      <x:c r="AN25" s="16" t="n">
        <x:f>IF(M25="Three Phase",U25/3,IF(N25="B",U25,0))</x:f>
        <x:v>0.16492</x:v>
      </x:c>
      <x:c r="AO25" s="16" t="n">
        <x:f>IF(M25="Three Phase",V25/3,IF(N25="B",V25,0))</x:f>
        <x:v>0.07465867808760439</x:v>
      </x:c>
    </x:row>
    <x:row r="26">
      <x:c r="A26" s="13" t="str">
        <x:v>C0025</x:v>
      </x:c>
      <x:c r="B26" s="13" t="str">
        <x:v>DT-2</x:v>
      </x:c>
      <x:c r="C26" s="13" t="str">
        <x:v>Industrial</x:v>
      </x:c>
      <x:c r="D26" s="16" t="n">
        <x:v>18.5</x:v>
      </x:c>
      <x:c r="E26" s="16" t="n">
        <x:v>0.81</x:v>
      </x:c>
      <x:c r="F26" s="16" t="n">
        <x:f>D26*E26</x:f>
        <x:v>14.985000000000001</x:v>
      </x:c>
      <x:c r="G26" s="16" t="n">
        <x:v>0.935</x:v>
      </x:c>
      <x:c r="H26" s="16" t="n">
        <x:f>F26/G26</x:f>
        <x:v>16.02673796791444</x:v>
      </x:c>
      <x:c r="I26" s="16" t="n">
        <x:v>0.94</x:v>
      </x:c>
      <x:c r="J26" s="16" t="n">
        <x:f>F26*I26</x:f>
        <x:v>14.0859</x:v>
      </x:c>
      <x:c r="K26" s="16" t="n">
        <x:f>J26*TAN(ACOS(G26))</x:f>
        <x:v>5.342815202001587</x:v>
      </x:c>
      <x:c r="L26" s="16" t="n">
        <x:f>SQRT(J26^2+K26^2)</x:f>
        <x:v>15.065133689839572</x:v>
      </x:c>
      <x:c r="M26" s="16" t="str">
        <x:v>Three Phase</x:v>
      </x:c>
      <x:c r="N26" s="16" t="str">
        <x:v>RYB</x:v>
      </x:c>
      <x:c r="O26" s="16" t="str">
        <x:v>Yes</x:v>
      </x:c>
      <x:c r="P26" s="16" t="n">
        <x:v>28.5</x:v>
      </x:c>
      <x:c r="Q26" s="16" t="n">
        <x:v>0.877</x:v>
      </x:c>
      <x:c r="R26" s="16" t="n">
        <x:v>0.779</x:v>
      </x:c>
      <x:c r="S26" s="16" t="n">
        <x:f>F26*Q26</x:f>
        <x:v>13.141845000000002</x:v>
      </x:c>
      <x:c r="T26" s="16" t="n">
        <x:f>IF(O26="Yes",P26*R26,0)</x:f>
        <x:v>22.2015</x:v>
      </x:c>
      <x:c r="U26" s="16" t="n">
        <x:f>S26-T26</x:f>
        <x:v>-9.059654999999998</x:v>
      </x:c>
      <x:c r="V26" s="16" t="n">
        <x:f>S26*TAN(ACOS(G26))</x:f>
        <x:v>4.984732906548289</x:v>
      </x:c>
      <x:c r="W26" s="16" t="n">
        <x:f>SQRT(U26^2+V26^2)</x:f>
        <x:v>10.340450225626073</x:v>
      </x:c>
      <x:c r="X26" s="13" t="str">
        <x:v>No</x:v>
      </x:c>
      <x:c r="Y26" s="13" t="str"/>
      <x:c r="Z26" s="18" t="str"/>
      <x:c r="AA26" s="13" t="str"/>
      <x:c r="AB26" s="18" t="str"/>
      <x:c r="AC26" s="13" t="str">
        <x:v>No</x:v>
      </x:c>
      <x:c r="AD26" s="16" t="n">
        <x:f>IF(M26="Three Phase",J26/3,IF(N26="R",J26,0))</x:f>
        <x:v>4.6953000000000005</x:v>
      </x:c>
      <x:c r="AE26" s="16" t="n">
        <x:f>IF(M26="Three Phase",K26/3,IF(N26="R",K26,0))</x:f>
        <x:v>1.7809384006671956</x:v>
      </x:c>
      <x:c r="AF26" s="16" t="n">
        <x:f>IF(M26="Three Phase",J26/3,IF(N26="Y",J26,0))</x:f>
        <x:v>4.6953000000000005</x:v>
      </x:c>
      <x:c r="AG26" s="16" t="n">
        <x:f>IF(M26="Three Phase",K26/3,IF(N26="Y",K26,0))</x:f>
        <x:v>1.7809384006671956</x:v>
      </x:c>
      <x:c r="AH26" s="16" t="n">
        <x:f>IF(M26="Three Phase",J26/3,IF(N26="B",J26,0))</x:f>
        <x:v>4.6953000000000005</x:v>
      </x:c>
      <x:c r="AI26" s="16" t="n">
        <x:f>IF(M26="Three Phase",K26/3,IF(N26="B",K26,0))</x:f>
        <x:v>1.7809384006671956</x:v>
      </x:c>
      <x:c r="AJ26" s="16" t="n">
        <x:f>IF(M26="Three Phase",U26/3,IF(N26="R",U26,0))</x:f>
        <x:v>-3.019884999999999</x:v>
      </x:c>
      <x:c r="AK26" s="16" t="n">
        <x:f>IF(M26="Three Phase",V26/3,IF(N26="R",V26,0))</x:f>
        <x:v>1.6615776355160963</x:v>
      </x:c>
      <x:c r="AL26" s="16" t="n">
        <x:f>IF(M26="Three Phase",U26/3,IF(N26="Y",U26,0))</x:f>
        <x:v>-3.019884999999999</x:v>
      </x:c>
      <x:c r="AM26" s="16" t="n">
        <x:f>IF(M26="Three Phase",V26/3,IF(N26="Y",V26,0))</x:f>
        <x:v>1.6615776355160963</x:v>
      </x:c>
      <x:c r="AN26" s="16" t="n">
        <x:f>IF(M26="Three Phase",U26/3,IF(N26="B",U26,0))</x:f>
        <x:v>-3.019884999999999</x:v>
      </x:c>
      <x:c r="AO26" s="16" t="n">
        <x:f>IF(M26="Three Phase",V26/3,IF(N26="B",V26,0))</x:f>
        <x:v>1.6615776355160963</x:v>
      </x:c>
    </x:row>
    <x:row r="27">
      <x:c r="A27" s="13" t="str">
        <x:v>C0026</x:v>
      </x:c>
      <x:c r="B27" s="13" t="str">
        <x:v>DT-3</x:v>
      </x:c>
      <x:c r="C27" s="13" t="str">
        <x:v>Residential</x:v>
      </x:c>
      <x:c r="D27" s="16" t="n">
        <x:v>3.5</x:v>
      </x:c>
      <x:c r="E27" s="16" t="n">
        <x:v>0.5</x:v>
      </x:c>
      <x:c r="F27" s="16" t="n">
        <x:f>D27*E27</x:f>
        <x:v>1.75</x:v>
      </x:c>
      <x:c r="G27" s="16" t="n">
        <x:v>0.901</x:v>
      </x:c>
      <x:c r="H27" s="16" t="n">
        <x:f>F27/G27</x:f>
        <x:v>1.9422863485016648</x:v>
      </x:c>
      <x:c r="I27" s="16" t="n">
        <x:v>0.751</x:v>
      </x:c>
      <x:c r="J27" s="16" t="n">
        <x:f>F27*I27</x:f>
        <x:v>1.31425</x:v>
      </x:c>
      <x:c r="K27" s="16" t="n">
        <x:f>J27*TAN(ACOS(G27))</x:f>
        <x:v>0.6327932682773136</x:v>
      </x:c>
      <x:c r="L27" s="16" t="n">
        <x:f>SQRT(J27^2+K27^2)</x:f>
        <x:v>1.4586570477247502</x:v>
      </x:c>
      <x:c r="M27" s="16" t="str">
        <x:v>Single Phase</x:v>
      </x:c>
      <x:c r="N27" s="16" t="str">
        <x:v>R</x:v>
      </x:c>
      <x:c r="O27" s="16" t="str">
        <x:v>No</x:v>
      </x:c>
      <x:c r="P27" s="16" t="n">
        <x:v>0</x:v>
      </x:c>
      <x:c r="Q27" s="16" t="n">
        <x:v>0.475</x:v>
      </x:c>
      <x:c r="R27" s="16" t="n">
        <x:v>0</x:v>
      </x:c>
      <x:c r="S27" s="16" t="n">
        <x:f>F27*Q27</x:f>
        <x:v>0.8312499999999999</x:v>
      </x:c>
      <x:c r="T27" s="16" t="n">
        <x:f>IF(O27="Yes",P27*R27,0)</x:f>
        <x:v>0</x:v>
      </x:c>
      <x:c r="U27" s="16" t="n">
        <x:f>S27-T27</x:f>
        <x:v>0.8312499999999999</x:v>
      </x:c>
      <x:c r="V27" s="16" t="n">
        <x:f>S27*TAN(ACOS(G27))</x:f>
        <x:v>0.400235422678727</x:v>
      </x:c>
      <x:c r="W27" s="16" t="n">
        <x:f>SQRT(U27^2+V27^2)</x:f>
        <x:v>0.9225860155382907</x:v>
      </x:c>
      <x:c r="X27" s="13" t="str">
        <x:v>No</x:v>
      </x:c>
      <x:c r="Y27" s="13" t="str"/>
      <x:c r="Z27" s="18" t="str"/>
      <x:c r="AA27" s="13" t="str"/>
      <x:c r="AB27" s="18" t="str"/>
      <x:c r="AC27" s="13" t="str">
        <x:v>No</x:v>
      </x:c>
      <x:c r="AD27" s="16" t="n">
        <x:f>IF(M27="Three Phase",J27/3,IF(N27="R",J27,0))</x:f>
        <x:v>1.31425</x:v>
      </x:c>
      <x:c r="AE27" s="16" t="n">
        <x:f>IF(M27="Three Phase",K27/3,IF(N27="R",K27,0))</x:f>
        <x:v>0.6327932682773136</x:v>
      </x:c>
      <x:c r="AF27" s="16" t="n">
        <x:f>IF(M27="Three Phase",J27/3,IF(N27="Y",J27,0))</x:f>
        <x:v>0</x:v>
      </x:c>
      <x:c r="AG27" s="16" t="n">
        <x:f>IF(M27="Three Phase",K27/3,IF(N27="Y",K27,0))</x:f>
        <x:v>0</x:v>
      </x:c>
      <x:c r="AH27" s="16" t="n">
        <x:f>IF(M27="Three Phase",J27/3,IF(N27="B",J27,0))</x:f>
        <x:v>0</x:v>
      </x:c>
      <x:c r="AI27" s="16" t="n">
        <x:f>IF(M27="Three Phase",K27/3,IF(N27="B",K27,0))</x:f>
        <x:v>0</x:v>
      </x:c>
      <x:c r="AJ27" s="16" t="n">
        <x:f>IF(M27="Three Phase",U27/3,IF(N27="R",U27,0))</x:f>
        <x:v>0.8312499999999999</x:v>
      </x:c>
      <x:c r="AK27" s="16" t="n">
        <x:f>IF(M27="Three Phase",V27/3,IF(N27="R",V27,0))</x:f>
        <x:v>0.400235422678727</x:v>
      </x:c>
      <x:c r="AL27" s="16" t="n">
        <x:f>IF(M27="Three Phase",U27/3,IF(N27="Y",U27,0))</x:f>
        <x:v>0</x:v>
      </x:c>
      <x:c r="AM27" s="16" t="n">
        <x:f>IF(M27="Three Phase",V27/3,IF(N27="Y",V27,0))</x:f>
        <x:v>0</x:v>
      </x:c>
      <x:c r="AN27" s="16" t="n">
        <x:f>IF(M27="Three Phase",U27/3,IF(N27="B",U27,0))</x:f>
        <x:v>0</x:v>
      </x:c>
      <x:c r="AO27" s="16" t="n">
        <x:f>IF(M27="Three Phase",V27/3,IF(N27="B",V27,0))</x:f>
        <x:v>0</x:v>
      </x:c>
    </x:row>
    <x:row r="28">
      <x:c r="A28" s="13" t="str">
        <x:v>C0027</x:v>
      </x:c>
      <x:c r="B28" s="13" t="str">
        <x:v>DT-3</x:v>
      </x:c>
      <x:c r="C28" s="13" t="str">
        <x:v>Residential</x:v>
      </x:c>
      <x:c r="D28" s="16" t="n">
        <x:v>6</x:v>
      </x:c>
      <x:c r="E28" s="16" t="n">
        <x:v>0.676</x:v>
      </x:c>
      <x:c r="F28" s="16" t="n">
        <x:f>D28*E28</x:f>
        <x:v>4.056</x:v>
      </x:c>
      <x:c r="G28" s="16" t="n">
        <x:v>0.969</x:v>
      </x:c>
      <x:c r="H28" s="16" t="n">
        <x:f>F28/G28</x:f>
        <x:v>4.185758513931889</x:v>
      </x:c>
      <x:c r="I28" s="16" t="n">
        <x:v>0.832</x:v>
      </x:c>
      <x:c r="J28" s="16" t="n">
        <x:f>F28*I28</x:f>
        <x:v>3.374592</x:v>
      </x:c>
      <x:c r="K28" s="16" t="n">
        <x:f>J28*TAN(ACOS(G28))</x:f>
        <x:v>0.8604015826107925</x:v>
      </x:c>
      <x:c r="L28" s="16" t="n">
        <x:f>SQRT(J28^2+K28^2)</x:f>
        <x:v>3.482551083591331</x:v>
      </x:c>
      <x:c r="M28" s="16" t="str">
        <x:v>Single Phase</x:v>
      </x:c>
      <x:c r="N28" s="16" t="str">
        <x:v>B</x:v>
      </x:c>
      <x:c r="O28" s="16" t="str">
        <x:v>No</x:v>
      </x:c>
      <x:c r="P28" s="16" t="n">
        <x:v>0</x:v>
      </x:c>
      <x:c r="Q28" s="16" t="n">
        <x:v>0.366</x:v>
      </x:c>
      <x:c r="R28" s="16" t="n">
        <x:v>0</x:v>
      </x:c>
      <x:c r="S28" s="16" t="n">
        <x:f>F28*Q28</x:f>
        <x:v>1.484496</x:v>
      </x:c>
      <x:c r="T28" s="16" t="n">
        <x:f>IF(O28="Yes",P28*R28,0)</x:f>
        <x:v>0</x:v>
      </x:c>
      <x:c r="U28" s="16" t="n">
        <x:f>S28-T28</x:f>
        <x:v>1.484496</x:v>
      </x:c>
      <x:c r="V28" s="16" t="n">
        <x:f>S28*TAN(ACOS(G28))</x:f>
        <x:v>0.3784939654273438</x:v>
      </x:c>
      <x:c r="W28" s="16" t="n">
        <x:f>SQRT(U28^2+V28^2)</x:f>
        <x:v>1.5319876160990713</x:v>
      </x:c>
      <x:c r="X28" s="13" t="str">
        <x:v>Yes</x:v>
      </x:c>
      <x:c r="Y28" s="13" t="str">
        <x:v>DT-6</x:v>
      </x:c>
      <x:c r="Z28" s="18" t="n">
        <x:v>27</x:v>
      </x:c>
      <x:c r="AA28" s="13" t="str"/>
      <x:c r="AB28" s="18" t="str"/>
      <x:c r="AC28" s="13" t="str">
        <x:v>No</x:v>
      </x:c>
      <x:c r="AD28" s="16" t="n">
        <x:f>IF(M28="Three Phase",J28/3,IF(N28="R",J28,0))</x:f>
        <x:v>0</x:v>
      </x:c>
      <x:c r="AE28" s="16" t="n">
        <x:f>IF(M28="Three Phase",K28/3,IF(N28="R",K28,0))</x:f>
        <x:v>0</x:v>
      </x:c>
      <x:c r="AF28" s="16" t="n">
        <x:f>IF(M28="Three Phase",J28/3,IF(N28="Y",J28,0))</x:f>
        <x:v>0</x:v>
      </x:c>
      <x:c r="AG28" s="16" t="n">
        <x:f>IF(M28="Three Phase",K28/3,IF(N28="Y",K28,0))</x:f>
        <x:v>0</x:v>
      </x:c>
      <x:c r="AH28" s="16" t="n">
        <x:f>IF(M28="Three Phase",J28/3,IF(N28="B",J28,0))</x:f>
        <x:v>3.374592</x:v>
      </x:c>
      <x:c r="AI28" s="16" t="n">
        <x:f>IF(M28="Three Phase",K28/3,IF(N28="B",K28,0))</x:f>
        <x:v>0.8604015826107925</x:v>
      </x:c>
      <x:c r="AJ28" s="16" t="n">
        <x:f>IF(M28="Three Phase",U28/3,IF(N28="R",U28,0))</x:f>
        <x:v>0</x:v>
      </x:c>
      <x:c r="AK28" s="16" t="n">
        <x:f>IF(M28="Three Phase",V28/3,IF(N28="R",V28,0))</x:f>
        <x:v>0</x:v>
      </x:c>
      <x:c r="AL28" s="16" t="n">
        <x:f>IF(M28="Three Phase",U28/3,IF(N28="Y",U28,0))</x:f>
        <x:v>0</x:v>
      </x:c>
      <x:c r="AM28" s="16" t="n">
        <x:f>IF(M28="Three Phase",V28/3,IF(N28="Y",V28,0))</x:f>
        <x:v>0</x:v>
      </x:c>
      <x:c r="AN28" s="16" t="n">
        <x:f>IF(M28="Three Phase",U28/3,IF(N28="B",U28,0))</x:f>
        <x:v>1.484496</x:v>
      </x:c>
      <x:c r="AO28" s="16" t="n">
        <x:f>IF(M28="Three Phase",V28/3,IF(N28="B",V28,0))</x:f>
        <x:v>0.3784939654273438</x:v>
      </x:c>
    </x:row>
    <x:row r="29">
      <x:c r="A29" s="13" t="str">
        <x:v>C0028</x:v>
      </x:c>
      <x:c r="B29" s="13" t="str">
        <x:v>DT-3</x:v>
      </x:c>
      <x:c r="C29" s="13" t="str">
        <x:v>Industrial</x:v>
      </x:c>
      <x:c r="D29" s="16" t="n">
        <x:v>28.5</x:v>
      </x:c>
      <x:c r="E29" s="16" t="n">
        <x:v>0.755</x:v>
      </x:c>
      <x:c r="F29" s="16" t="n">
        <x:f>D29*E29</x:f>
        <x:v>21.517500000000002</x:v>
      </x:c>
      <x:c r="G29" s="16" t="n">
        <x:v>0.924</x:v>
      </x:c>
      <x:c r="H29" s="16" t="n">
        <x:f>F29/G29</x:f>
        <x:v>23.287337662337663</x:v>
      </x:c>
      <x:c r="I29" s="16" t="n">
        <x:v>0.841</x:v>
      </x:c>
      <x:c r="J29" s="16" t="n">
        <x:f>F29*I29</x:f>
        <x:v>18.0962175</x:v>
      </x:c>
      <x:c r="K29" s="16" t="n">
        <x:f>J29*TAN(ACOS(G29))</x:f>
        <x:v>7.489023031551596</x:v>
      </x:c>
      <x:c r="L29" s="16" t="n">
        <x:f>SQRT(J29^2+K29^2)</x:f>
        <x:v>19.584650974025976</x:v>
      </x:c>
      <x:c r="M29" s="16" t="str">
        <x:v>Three Phase</x:v>
      </x:c>
      <x:c r="N29" s="16" t="str">
        <x:v>RYB</x:v>
      </x:c>
      <x:c r="O29" s="16" t="str">
        <x:v>No</x:v>
      </x:c>
      <x:c r="P29" s="16" t="n">
        <x:v>0</x:v>
      </x:c>
      <x:c r="Q29" s="16" t="n">
        <x:v>0.692</x:v>
      </x:c>
      <x:c r="R29" s="16" t="n">
        <x:v>0</x:v>
      </x:c>
      <x:c r="S29" s="16" t="n">
        <x:f>F29*Q29</x:f>
        <x:v>14.89011</x:v>
      </x:c>
      <x:c r="T29" s="16" t="n">
        <x:f>IF(O29="Yes",P29*R29,0)</x:f>
        <x:v>0</x:v>
      </x:c>
      <x:c r="U29" s="16" t="n">
        <x:f>S29-T29</x:f>
        <x:v>14.89011</x:v>
      </x:c>
      <x:c r="V29" s="16" t="n">
        <x:f>S29*TAN(ACOS(G29))</x:f>
        <x:v>6.162192553904523</x:v>
      </x:c>
      <x:c r="W29" s="16" t="n">
        <x:f>SQRT(U29^2+V29^2)</x:f>
        <x:v>16.11483766233766</x:v>
      </x:c>
      <x:c r="X29" s="13" t="str">
        <x:v>No</x:v>
      </x:c>
      <x:c r="Y29" s="13" t="str"/>
      <x:c r="Z29" s="18" t="str"/>
      <x:c r="AA29" s="13" t="str"/>
      <x:c r="AB29" s="18" t="str"/>
      <x:c r="AC29" s="13" t="str">
        <x:v>No</x:v>
      </x:c>
      <x:c r="AD29" s="16" t="n">
        <x:f>IF(M29="Three Phase",J29/3,IF(N29="R",J29,0))</x:f>
        <x:v>6.032072500000001</x:v>
      </x:c>
      <x:c r="AE29" s="16" t="n">
        <x:f>IF(M29="Three Phase",K29/3,IF(N29="R",K29,0))</x:f>
        <x:v>2.496341010517199</x:v>
      </x:c>
      <x:c r="AF29" s="16" t="n">
        <x:f>IF(M29="Three Phase",J29/3,IF(N29="Y",J29,0))</x:f>
        <x:v>6.032072500000001</x:v>
      </x:c>
      <x:c r="AG29" s="16" t="n">
        <x:f>IF(M29="Three Phase",K29/3,IF(N29="Y",K29,0))</x:f>
        <x:v>2.496341010517199</x:v>
      </x:c>
      <x:c r="AH29" s="16" t="n">
        <x:f>IF(M29="Three Phase",J29/3,IF(N29="B",J29,0))</x:f>
        <x:v>6.032072500000001</x:v>
      </x:c>
      <x:c r="AI29" s="16" t="n">
        <x:f>IF(M29="Three Phase",K29/3,IF(N29="B",K29,0))</x:f>
        <x:v>2.496341010517199</x:v>
      </x:c>
      <x:c r="AJ29" s="16" t="n">
        <x:f>IF(M29="Three Phase",U29/3,IF(N29="R",U29,0))</x:f>
        <x:v>4.96337</x:v>
      </x:c>
      <x:c r="AK29" s="16" t="n">
        <x:f>IF(M29="Three Phase",V29/3,IF(N29="R",V29,0))</x:f>
        <x:v>2.054064184634841</x:v>
      </x:c>
      <x:c r="AL29" s="16" t="n">
        <x:f>IF(M29="Three Phase",U29/3,IF(N29="Y",U29,0))</x:f>
        <x:v>4.96337</x:v>
      </x:c>
      <x:c r="AM29" s="16" t="n">
        <x:f>IF(M29="Three Phase",V29/3,IF(N29="Y",V29,0))</x:f>
        <x:v>2.054064184634841</x:v>
      </x:c>
      <x:c r="AN29" s="16" t="n">
        <x:f>IF(M29="Three Phase",U29/3,IF(N29="B",U29,0))</x:f>
        <x:v>4.96337</x:v>
      </x:c>
      <x:c r="AO29" s="16" t="n">
        <x:f>IF(M29="Three Phase",V29/3,IF(N29="B",V29,0))</x:f>
        <x:v>2.054064184634841</x:v>
      </x:c>
    </x:row>
    <x:row r="30">
      <x:c r="A30" s="13" t="str">
        <x:v>C0029</x:v>
      </x:c>
      <x:c r="B30" s="13" t="str">
        <x:v>DT-3</x:v>
      </x:c>
      <x:c r="C30" s="13" t="str">
        <x:v>Residential</x:v>
      </x:c>
      <x:c r="D30" s="16" t="n">
        <x:v>4</x:v>
      </x:c>
      <x:c r="E30" s="16" t="n">
        <x:v>0.612</x:v>
      </x:c>
      <x:c r="F30" s="16" t="n">
        <x:f>D30*E30</x:f>
        <x:v>2.448</x:v>
      </x:c>
      <x:c r="G30" s="16" t="n">
        <x:v>0.938</x:v>
      </x:c>
      <x:c r="H30" s="16" t="n">
        <x:f>F30/G30</x:f>
        <x:v>2.609808102345416</x:v>
      </x:c>
      <x:c r="I30" s="16" t="n">
        <x:v>0.74</x:v>
      </x:c>
      <x:c r="J30" s="16" t="n">
        <x:f>F30*I30</x:f>
        <x:v>1.81152</x:v>
      </x:c>
      <x:c r="K30" s="16" t="n">
        <x:f>J30*TAN(ACOS(G30))</x:f>
        <x:v>0.6694421077977668</x:v>
      </x:c>
      <x:c r="L30" s="16" t="n">
        <x:f>SQRT(J30^2+K30^2)</x:f>
        <x:v>1.9312579957356077</x:v>
      </x:c>
      <x:c r="M30" s="16" t="str">
        <x:v>Single Phase</x:v>
      </x:c>
      <x:c r="N30" s="16" t="str">
        <x:v>R</x:v>
      </x:c>
      <x:c r="O30" s="16" t="str">
        <x:v>No</x:v>
      </x:c>
      <x:c r="P30" s="16" t="n">
        <x:v>0</x:v>
      </x:c>
      <x:c r="Q30" s="16" t="n">
        <x:v>0.491</x:v>
      </x:c>
      <x:c r="R30" s="16" t="n">
        <x:v>0</x:v>
      </x:c>
      <x:c r="S30" s="16" t="n">
        <x:f>F30*Q30</x:f>
        <x:v>1.201968</x:v>
      </x:c>
      <x:c r="T30" s="16" t="n">
        <x:f>IF(O30="Yes",P30*R30,0)</x:f>
        <x:v>0</x:v>
      </x:c>
      <x:c r="U30" s="16" t="n">
        <x:f>S30-T30</x:f>
        <x:v>1.201968</x:v>
      </x:c>
      <x:c r="V30" s="16" t="n">
        <x:f>S30*TAN(ACOS(G30))</x:f>
        <x:v>0.4441838850387885</x:v>
      </x:c>
      <x:c r="W30" s="16" t="n">
        <x:f>SQRT(U30^2+V30^2)</x:f>
        <x:v>1.2814157782515991</x:v>
      </x:c>
      <x:c r="X30" s="13" t="str">
        <x:v>Yes</x:v>
      </x:c>
      <x:c r="Y30" s="13" t="str">
        <x:v>DT-2</x:v>
      </x:c>
      <x:c r="Z30" s="18" t="n">
        <x:v>80</x:v>
      </x:c>
      <x:c r="AA30" s="13" t="str"/>
      <x:c r="AB30" s="18" t="str"/>
      <x:c r="AC30" s="13" t="str">
        <x:v>Yes</x:v>
      </x:c>
      <x:c r="AD30" s="16" t="n">
        <x:f>IF(M30="Three Phase",J30/3,IF(N30="R",J30,0))</x:f>
        <x:v>1.81152</x:v>
      </x:c>
      <x:c r="AE30" s="16" t="n">
        <x:f>IF(M30="Three Phase",K30/3,IF(N30="R",K30,0))</x:f>
        <x:v>0.6694421077977668</x:v>
      </x:c>
      <x:c r="AF30" s="16" t="n">
        <x:f>IF(M30="Three Phase",J30/3,IF(N30="Y",J30,0))</x:f>
        <x:v>0</x:v>
      </x:c>
      <x:c r="AG30" s="16" t="n">
        <x:f>IF(M30="Three Phase",K30/3,IF(N30="Y",K30,0))</x:f>
        <x:v>0</x:v>
      </x:c>
      <x:c r="AH30" s="16" t="n">
        <x:f>IF(M30="Three Phase",J30/3,IF(N30="B",J30,0))</x:f>
        <x:v>0</x:v>
      </x:c>
      <x:c r="AI30" s="16" t="n">
        <x:f>IF(M30="Three Phase",K30/3,IF(N30="B",K30,0))</x:f>
        <x:v>0</x:v>
      </x:c>
      <x:c r="AJ30" s="16" t="n">
        <x:f>IF(M30="Three Phase",U30/3,IF(N30="R",U30,0))</x:f>
        <x:v>1.201968</x:v>
      </x:c>
      <x:c r="AK30" s="16" t="n">
        <x:f>IF(M30="Three Phase",V30/3,IF(N30="R",V30,0))</x:f>
        <x:v>0.4441838850387885</x:v>
      </x:c>
      <x:c r="AL30" s="16" t="n">
        <x:f>IF(M30="Three Phase",U30/3,IF(N30="Y",U30,0))</x:f>
        <x:v>0</x:v>
      </x:c>
      <x:c r="AM30" s="16" t="n">
        <x:f>IF(M30="Three Phase",V30/3,IF(N30="Y",V30,0))</x:f>
        <x:v>0</x:v>
      </x:c>
      <x:c r="AN30" s="16" t="n">
        <x:f>IF(M30="Three Phase",U30/3,IF(N30="B",U30,0))</x:f>
        <x:v>0</x:v>
      </x:c>
      <x:c r="AO30" s="16" t="n">
        <x:f>IF(M30="Three Phase",V30/3,IF(N30="B",V30,0))</x:f>
        <x:v>0</x:v>
      </x:c>
    </x:row>
    <x:row r="31">
      <x:c r="A31" s="13" t="str">
        <x:v>C0030</x:v>
      </x:c>
      <x:c r="B31" s="13" t="str">
        <x:v>DT-3</x:v>
      </x:c>
      <x:c r="C31" s="13" t="str">
        <x:v>Industrial</x:v>
      </x:c>
      <x:c r="D31" s="16" t="n">
        <x:v>21.5</x:v>
      </x:c>
      <x:c r="E31" s="16" t="n">
        <x:v>0.772</x:v>
      </x:c>
      <x:c r="F31" s="16" t="n">
        <x:f>D31*E31</x:f>
        <x:v>16.598</x:v>
      </x:c>
      <x:c r="G31" s="16" t="n">
        <x:v>0.913</x:v>
      </x:c>
      <x:c r="H31" s="16" t="n">
        <x:f>F31/G31</x:f>
        <x:v>18.179627601314348</x:v>
      </x:c>
      <x:c r="I31" s="16" t="n">
        <x:v>0.791</x:v>
      </x:c>
      <x:c r="J31" s="16" t="n">
        <x:f>F31*I31</x:f>
        <x:v>13.129018</x:v>
      </x:c>
      <x:c r="K31" s="16" t="n">
        <x:f>J31*TAN(ACOS(G31))</x:f>
        <x:v>5.866493280119823</x:v>
      </x:c>
      <x:c r="L31" s="16" t="n">
        <x:f>SQRT(J31^2+K31^2)</x:f>
        <x:v>14.38008543263965</x:v>
      </x:c>
      <x:c r="M31" s="16" t="str">
        <x:v>Three Phase</x:v>
      </x:c>
      <x:c r="N31" s="16" t="str">
        <x:v>RYB</x:v>
      </x:c>
      <x:c r="O31" s="16" t="str">
        <x:v>Yes</x:v>
      </x:c>
      <x:c r="P31" s="16" t="n">
        <x:v>15.5</x:v>
      </x:c>
      <x:c r="Q31" s="16" t="n">
        <x:v>0.843</x:v>
      </x:c>
      <x:c r="R31" s="16" t="n">
        <x:v>0.801</x:v>
      </x:c>
      <x:c r="S31" s="16" t="n">
        <x:f>F31*Q31</x:f>
        <x:v>13.992113999999999</x:v>
      </x:c>
      <x:c r="T31" s="16" t="n">
        <x:f>IF(O31="Yes",P31*R31,0)</x:f>
        <x:v>12.415500000000002</x:v>
      </x:c>
      <x:c r="U31" s="16" t="n">
        <x:f>S31-T31</x:f>
        <x:v>1.5766139999999975</x:v>
      </x:c>
      <x:c r="V31" s="16" t="n">
        <x:f>S31*TAN(ACOS(G31))</x:f>
        <x:v>6.252154026726941</x:v>
      </x:c>
      <x:c r="W31" s="16" t="n">
        <x:f>SQRT(U31^2+V31^2)</x:f>
        <x:v>6.447878851134991</x:v>
      </x:c>
      <x:c r="X31" s="13" t="str">
        <x:v>No</x:v>
      </x:c>
      <x:c r="Y31" s="13" t="str"/>
      <x:c r="Z31" s="18" t="str"/>
      <x:c r="AA31" s="13" t="str"/>
      <x:c r="AB31" s="18" t="str"/>
      <x:c r="AC31" s="13" t="str">
        <x:v>No</x:v>
      </x:c>
      <x:c r="AD31" s="16" t="n">
        <x:f>IF(M31="Three Phase",J31/3,IF(N31="R",J31,0))</x:f>
        <x:v>4.376339333333333</x:v>
      </x:c>
      <x:c r="AE31" s="16" t="n">
        <x:f>IF(M31="Three Phase",K31/3,IF(N31="R",K31,0))</x:f>
        <x:v>1.9554977600399408</x:v>
      </x:c>
      <x:c r="AF31" s="16" t="n">
        <x:f>IF(M31="Three Phase",J31/3,IF(N31="Y",J31,0))</x:f>
        <x:v>4.376339333333333</x:v>
      </x:c>
      <x:c r="AG31" s="16" t="n">
        <x:f>IF(M31="Three Phase",K31/3,IF(N31="Y",K31,0))</x:f>
        <x:v>1.9554977600399408</x:v>
      </x:c>
      <x:c r="AH31" s="16" t="n">
        <x:f>IF(M31="Three Phase",J31/3,IF(N31="B",J31,0))</x:f>
        <x:v>4.376339333333333</x:v>
      </x:c>
      <x:c r="AI31" s="16" t="n">
        <x:f>IF(M31="Three Phase",K31/3,IF(N31="B",K31,0))</x:f>
        <x:v>1.9554977600399408</x:v>
      </x:c>
      <x:c r="AJ31" s="16" t="n">
        <x:f>IF(M31="Three Phase",U31/3,IF(N31="R",U31,0))</x:f>
        <x:v>0.5255379999999992</x:v>
      </x:c>
      <x:c r="AK31" s="16" t="n">
        <x:f>IF(M31="Three Phase",V31/3,IF(N31="R",V31,0))</x:f>
        <x:v>2.0840513422423137</x:v>
      </x:c>
      <x:c r="AL31" s="16" t="n">
        <x:f>IF(M31="Three Phase",U31/3,IF(N31="Y",U31,0))</x:f>
        <x:v>0.5255379999999992</x:v>
      </x:c>
      <x:c r="AM31" s="16" t="n">
        <x:f>IF(M31="Three Phase",V31/3,IF(N31="Y",V31,0))</x:f>
        <x:v>2.0840513422423137</x:v>
      </x:c>
      <x:c r="AN31" s="16" t="n">
        <x:f>IF(M31="Three Phase",U31/3,IF(N31="B",U31,0))</x:f>
        <x:v>0.5255379999999992</x:v>
      </x:c>
      <x:c r="AO31" s="16" t="n">
        <x:f>IF(M31="Three Phase",V31/3,IF(N31="B",V31,0))</x:f>
        <x:v>2.0840513422423137</x:v>
      </x:c>
    </x:row>
    <x:row r="32">
      <x:c r="A32" s="13" t="str">
        <x:v>C0031</x:v>
      </x:c>
      <x:c r="B32" s="13" t="str">
        <x:v>DT-3</x:v>
      </x:c>
      <x:c r="C32" s="13" t="str">
        <x:v>Residential</x:v>
      </x:c>
      <x:c r="D32" s="16" t="n">
        <x:v>2</x:v>
      </x:c>
      <x:c r="E32" s="16" t="n">
        <x:v>0.409</x:v>
      </x:c>
      <x:c r="F32" s="16" t="n">
        <x:f>D32*E32</x:f>
        <x:v>0.818</x:v>
      </x:c>
      <x:c r="G32" s="16" t="n">
        <x:v>0.911</x:v>
      </x:c>
      <x:c r="H32" s="16" t="n">
        <x:f>F32/G32</x:f>
        <x:v>0.8979143798024148</x:v>
      </x:c>
      <x:c r="I32" s="16" t="n">
        <x:v>0.857</x:v>
      </x:c>
      <x:c r="J32" s="16" t="n">
        <x:f>F32*I32</x:f>
        <x:v>0.7010259999999999</x:v>
      </x:c>
      <x:c r="K32" s="16" t="n">
        <x:f>J32*TAN(ACOS(G32))</x:f>
        <x:v>0.31735189464613717</x:v>
      </x:c>
      <x:c r="L32" s="16" t="n">
        <x:f>SQRT(J32^2+K32^2)</x:f>
        <x:v>0.7695126234906695</x:v>
      </x:c>
      <x:c r="M32" s="16" t="str">
        <x:v>Single Phase</x:v>
      </x:c>
      <x:c r="N32" s="16" t="str">
        <x:v>B</x:v>
      </x:c>
      <x:c r="O32" s="16" t="str">
        <x:v>No</x:v>
      </x:c>
      <x:c r="P32" s="16" t="n">
        <x:v>0</x:v>
      </x:c>
      <x:c r="Q32" s="16" t="n">
        <x:v>0.222</x:v>
      </x:c>
      <x:c r="R32" s="16" t="n">
        <x:v>0</x:v>
      </x:c>
      <x:c r="S32" s="16" t="n">
        <x:f>F32*Q32</x:f>
        <x:v>0.18159599999999998</x:v>
      </x:c>
      <x:c r="T32" s="16" t="n">
        <x:f>IF(O32="Yes",P32*R32,0)</x:f>
        <x:v>0</x:v>
      </x:c>
      <x:c r="U32" s="16" t="n">
        <x:f>S32-T32</x:f>
        <x:v>0.18159599999999998</x:v>
      </x:c>
      <x:c r="V32" s="16" t="n">
        <x:f>S32*TAN(ACOS(G32))</x:f>
        <x:v>0.08220784202035292</x:v>
      </x:c>
      <x:c r="W32" s="16" t="n">
        <x:f>SQRT(U32^2+V32^2)</x:f>
        <x:v>0.19933699231613608</x:v>
      </x:c>
      <x:c r="X32" s="13" t="str">
        <x:v>No</x:v>
      </x:c>
      <x:c r="Y32" s="13" t="str"/>
      <x:c r="Z32" s="18" t="str"/>
      <x:c r="AA32" s="13" t="str"/>
      <x:c r="AB32" s="18" t="str"/>
      <x:c r="AC32" s="13" t="str">
        <x:v>No</x:v>
      </x:c>
      <x:c r="AD32" s="16" t="n">
        <x:f>IF(M32="Three Phase",J32/3,IF(N32="R",J32,0))</x:f>
        <x:v>0</x:v>
      </x:c>
      <x:c r="AE32" s="16" t="n">
        <x:f>IF(M32="Three Phase",K32/3,IF(N32="R",K32,0))</x:f>
        <x:v>0</x:v>
      </x:c>
      <x:c r="AF32" s="16" t="n">
        <x:f>IF(M32="Three Phase",J32/3,IF(N32="Y",J32,0))</x:f>
        <x:v>0</x:v>
      </x:c>
      <x:c r="AG32" s="16" t="n">
        <x:f>IF(M32="Three Phase",K32/3,IF(N32="Y",K32,0))</x:f>
        <x:v>0</x:v>
      </x:c>
      <x:c r="AH32" s="16" t="n">
        <x:f>IF(M32="Three Phase",J32/3,IF(N32="B",J32,0))</x:f>
        <x:v>0.7010259999999999</x:v>
      </x:c>
      <x:c r="AI32" s="16" t="n">
        <x:f>IF(M32="Three Phase",K32/3,IF(N32="B",K32,0))</x:f>
        <x:v>0.31735189464613717</x:v>
      </x:c>
      <x:c r="AJ32" s="16" t="n">
        <x:f>IF(M32="Three Phase",U32/3,IF(N32="R",U32,0))</x:f>
        <x:v>0</x:v>
      </x:c>
      <x:c r="AK32" s="16" t="n">
        <x:f>IF(M32="Three Phase",V32/3,IF(N32="R",V32,0))</x:f>
        <x:v>0</x:v>
      </x:c>
      <x:c r="AL32" s="16" t="n">
        <x:f>IF(M32="Three Phase",U32/3,IF(N32="Y",U32,0))</x:f>
        <x:v>0</x:v>
      </x:c>
      <x:c r="AM32" s="16" t="n">
        <x:f>IF(M32="Three Phase",V32/3,IF(N32="Y",V32,0))</x:f>
        <x:v>0</x:v>
      </x:c>
      <x:c r="AN32" s="16" t="n">
        <x:f>IF(M32="Three Phase",U32/3,IF(N32="B",U32,0))</x:f>
        <x:v>0.18159599999999998</x:v>
      </x:c>
      <x:c r="AO32" s="16" t="n">
        <x:f>IF(M32="Three Phase",V32/3,IF(N32="B",V32,0))</x:f>
        <x:v>0.08220784202035292</x:v>
      </x:c>
    </x:row>
    <x:row r="33">
      <x:c r="A33" s="13" t="str">
        <x:v>C0032</x:v>
      </x:c>
      <x:c r="B33" s="13" t="str">
        <x:v>DT-3</x:v>
      </x:c>
      <x:c r="C33" s="13" t="str">
        <x:v>Residential</x:v>
      </x:c>
      <x:c r="D33" s="16" t="n">
        <x:v>6</x:v>
      </x:c>
      <x:c r="E33" s="16" t="n">
        <x:v>0.669</x:v>
      </x:c>
      <x:c r="F33" s="16" t="n">
        <x:f>D33*E33</x:f>
        <x:v>4.014</x:v>
      </x:c>
      <x:c r="G33" s="16" t="n">
        <x:v>0.964</x:v>
      </x:c>
      <x:c r="H33" s="16" t="n">
        <x:f>F33/G33</x:f>
        <x:v>4.16390041493776</x:v>
      </x:c>
      <x:c r="I33" s="16" t="n">
        <x:v>0.854</x:v>
      </x:c>
      <x:c r="J33" s="16" t="n">
        <x:f>F33*I33</x:f>
        <x:v>3.427956</x:v>
      </x:c>
      <x:c r="K33" s="16" t="n">
        <x:f>J33*TAN(ACOS(G33))</x:f>
        <x:v>0.9455406338669651</x:v>
      </x:c>
      <x:c r="L33" s="16" t="n">
        <x:f>SQRT(J33^2+K33^2)</x:f>
        <x:v>3.5559709543568467</x:v>
      </x:c>
      <x:c r="M33" s="16" t="str">
        <x:v>Single Phase</x:v>
      </x:c>
      <x:c r="N33" s="16" t="str">
        <x:v>R</x:v>
      </x:c>
      <x:c r="O33" s="16" t="str">
        <x:v>No</x:v>
      </x:c>
      <x:c r="P33" s="16" t="n">
        <x:v>0</x:v>
      </x:c>
      <x:c r="Q33" s="16" t="n">
        <x:v>0.467</x:v>
      </x:c>
      <x:c r="R33" s="16" t="n">
        <x:v>0</x:v>
      </x:c>
      <x:c r="S33" s="16" t="n">
        <x:f>F33*Q33</x:f>
        <x:v>1.8745380000000003</x:v>
      </x:c>
      <x:c r="T33" s="16" t="n">
        <x:f>IF(O33="Yes",P33*R33,0)</x:f>
        <x:v>0</x:v>
      </x:c>
      <x:c r="U33" s="16" t="n">
        <x:f>S33-T33</x:f>
        <x:v>1.8745380000000003</x:v>
      </x:c>
      <x:c r="V33" s="16" t="n">
        <x:f>S33*TAN(ACOS(G33))</x:f>
        <x:v>0.5170579344448158</x:v>
      </x:c>
      <x:c r="W33" s="16" t="n">
        <x:f>SQRT(U33^2+V33^2)</x:f>
        <x:v>1.944541493775934</x:v>
      </x:c>
      <x:c r="X33" s="13" t="str">
        <x:v>No</x:v>
      </x:c>
      <x:c r="Y33" s="13" t="str"/>
      <x:c r="Z33" s="18" t="str"/>
      <x:c r="AA33" s="13" t="str"/>
      <x:c r="AB33" s="18" t="str"/>
      <x:c r="AC33" s="13" t="str">
        <x:v>No</x:v>
      </x:c>
      <x:c r="AD33" s="16" t="n">
        <x:f>IF(M33="Three Phase",J33/3,IF(N33="R",J33,0))</x:f>
        <x:v>3.427956</x:v>
      </x:c>
      <x:c r="AE33" s="16" t="n">
        <x:f>IF(M33="Three Phase",K33/3,IF(N33="R",K33,0))</x:f>
        <x:v>0.9455406338669651</x:v>
      </x:c>
      <x:c r="AF33" s="16" t="n">
        <x:f>IF(M33="Three Phase",J33/3,IF(N33="Y",J33,0))</x:f>
        <x:v>0</x:v>
      </x:c>
      <x:c r="AG33" s="16" t="n">
        <x:f>IF(M33="Three Phase",K33/3,IF(N33="Y",K33,0))</x:f>
        <x:v>0</x:v>
      </x:c>
      <x:c r="AH33" s="16" t="n">
        <x:f>IF(M33="Three Phase",J33/3,IF(N33="B",J33,0))</x:f>
        <x:v>0</x:v>
      </x:c>
      <x:c r="AI33" s="16" t="n">
        <x:f>IF(M33="Three Phase",K33/3,IF(N33="B",K33,0))</x:f>
        <x:v>0</x:v>
      </x:c>
      <x:c r="AJ33" s="16" t="n">
        <x:f>IF(M33="Three Phase",U33/3,IF(N33="R",U33,0))</x:f>
        <x:v>1.8745380000000003</x:v>
      </x:c>
      <x:c r="AK33" s="16" t="n">
        <x:f>IF(M33="Three Phase",V33/3,IF(N33="R",V33,0))</x:f>
        <x:v>0.5170579344448158</x:v>
      </x:c>
      <x:c r="AL33" s="16" t="n">
        <x:f>IF(M33="Three Phase",U33/3,IF(N33="Y",U33,0))</x:f>
        <x:v>0</x:v>
      </x:c>
      <x:c r="AM33" s="16" t="n">
        <x:f>IF(M33="Three Phase",V33/3,IF(N33="Y",V33,0))</x:f>
        <x:v>0</x:v>
      </x:c>
      <x:c r="AN33" s="16" t="n">
        <x:f>IF(M33="Three Phase",U33/3,IF(N33="B",U33,0))</x:f>
        <x:v>0</x:v>
      </x:c>
      <x:c r="AO33" s="16" t="n">
        <x:f>IF(M33="Three Phase",V33/3,IF(N33="B",V33,0))</x:f>
        <x:v>0</x:v>
      </x:c>
    </x:row>
    <x:row r="34">
      <x:c r="A34" s="13" t="str">
        <x:v>C0033</x:v>
      </x:c>
      <x:c r="B34" s="13" t="str">
        <x:v>DT-3</x:v>
      </x:c>
      <x:c r="C34" s="13" t="str">
        <x:v>Residential</x:v>
      </x:c>
      <x:c r="D34" s="16" t="n">
        <x:v>4</x:v>
      </x:c>
      <x:c r="E34" s="16" t="n">
        <x:v>0.736</x:v>
      </x:c>
      <x:c r="F34" s="16" t="n">
        <x:f>D34*E34</x:f>
        <x:v>2.944</x:v>
      </x:c>
      <x:c r="G34" s="16" t="n">
        <x:v>0.968</x:v>
      </x:c>
      <x:c r="H34" s="16" t="n">
        <x:f>F34/G34</x:f>
        <x:v>3.041322314049587</x:v>
      </x:c>
      <x:c r="I34" s="16" t="n">
        <x:v>0.876</x:v>
      </x:c>
      <x:c r="J34" s="16" t="n">
        <x:f>F34*I34</x:f>
        <x:v>2.578944</x:v>
      </x:c>
      <x:c r="K34" s="16" t="n">
        <x:f>J34*TAN(ACOS(G34))</x:f>
        <x:v>0.6685810927583916</x:v>
      </x:c>
      <x:c r="L34" s="16" t="n">
        <x:f>SQRT(J34^2+K34^2)</x:f>
        <x:v>2.6641983471074377</x:v>
      </x:c>
      <x:c r="M34" s="16" t="str">
        <x:v>Single Phase</x:v>
      </x:c>
      <x:c r="N34" s="16" t="str">
        <x:v>Y</x:v>
      </x:c>
      <x:c r="O34" s="16" t="str">
        <x:v>No</x:v>
      </x:c>
      <x:c r="P34" s="16" t="n">
        <x:v>0</x:v>
      </x:c>
      <x:c r="Q34" s="16" t="n">
        <x:v>0.35</x:v>
      </x:c>
      <x:c r="R34" s="16" t="n">
        <x:v>0</x:v>
      </x:c>
      <x:c r="S34" s="16" t="n">
        <x:f>F34*Q34</x:f>
        <x:v>1.0304</x:v>
      </x:c>
      <x:c r="T34" s="16" t="n">
        <x:f>IF(O34="Yes",P34*R34,0)</x:f>
        <x:v>0</x:v>
      </x:c>
      <x:c r="U34" s="16" t="n">
        <x:f>S34-T34</x:f>
        <x:v>1.0304</x:v>
      </x:c>
      <x:c r="V34" s="16" t="n">
        <x:f>S34*TAN(ACOS(G34))</x:f>
        <x:v>0.2671271489331473</x:v>
      </x:c>
      <x:c r="W34" s="16" t="n">
        <x:f>SQRT(U34^2+V34^2)</x:f>
        <x:v>1.0644628099173554</x:v>
      </x:c>
      <x:c r="X34" s="13" t="str">
        <x:v>Yes</x:v>
      </x:c>
      <x:c r="Y34" s="13" t="str">
        <x:v>DT-2</x:v>
      </x:c>
      <x:c r="Z34" s="18" t="n">
        <x:v>89</x:v>
      </x:c>
      <x:c r="AA34" s="13" t="str">
        <x:v>DT-6</x:v>
      </x:c>
      <x:c r="AB34" s="18" t="n">
        <x:v>106</x:v>
      </x:c>
      <x:c r="AC34" s="13" t="str">
        <x:v>Yes</x:v>
      </x:c>
      <x:c r="AD34" s="16" t="n">
        <x:f>IF(M34="Three Phase",J34/3,IF(N34="R",J34,0))</x:f>
        <x:v>0</x:v>
      </x:c>
      <x:c r="AE34" s="16" t="n">
        <x:f>IF(M34="Three Phase",K34/3,IF(N34="R",K34,0))</x:f>
        <x:v>0</x:v>
      </x:c>
      <x:c r="AF34" s="16" t="n">
        <x:f>IF(M34="Three Phase",J34/3,IF(N34="Y",J34,0))</x:f>
        <x:v>2.578944</x:v>
      </x:c>
      <x:c r="AG34" s="16" t="n">
        <x:f>IF(M34="Three Phase",K34/3,IF(N34="Y",K34,0))</x:f>
        <x:v>0.6685810927583916</x:v>
      </x:c>
      <x:c r="AH34" s="16" t="n">
        <x:f>IF(M34="Three Phase",J34/3,IF(N34="B",J34,0))</x:f>
        <x:v>0</x:v>
      </x:c>
      <x:c r="AI34" s="16" t="n">
        <x:f>IF(M34="Three Phase",K34/3,IF(N34="B",K34,0))</x:f>
        <x:v>0</x:v>
      </x:c>
      <x:c r="AJ34" s="16" t="n">
        <x:f>IF(M34="Three Phase",U34/3,IF(N34="R",U34,0))</x:f>
        <x:v>0</x:v>
      </x:c>
      <x:c r="AK34" s="16" t="n">
        <x:f>IF(M34="Three Phase",V34/3,IF(N34="R",V34,0))</x:f>
        <x:v>0</x:v>
      </x:c>
      <x:c r="AL34" s="16" t="n">
        <x:f>IF(M34="Three Phase",U34/3,IF(N34="Y",U34,0))</x:f>
        <x:v>1.0304</x:v>
      </x:c>
      <x:c r="AM34" s="16" t="n">
        <x:f>IF(M34="Three Phase",V34/3,IF(N34="Y",V34,0))</x:f>
        <x:v>0.2671271489331473</x:v>
      </x:c>
      <x:c r="AN34" s="16" t="n">
        <x:f>IF(M34="Three Phase",U34/3,IF(N34="B",U34,0))</x:f>
        <x:v>0</x:v>
      </x:c>
      <x:c r="AO34" s="16" t="n">
        <x:f>IF(M34="Three Phase",V34/3,IF(N34="B",V34,0))</x:f>
        <x:v>0</x:v>
      </x:c>
    </x:row>
    <x:row r="35">
      <x:c r="A35" s="13" t="str">
        <x:v>C0034</x:v>
      </x:c>
      <x:c r="B35" s="13" t="str">
        <x:v>DT-3</x:v>
      </x:c>
      <x:c r="C35" s="13" t="str">
        <x:v>Residential</x:v>
      </x:c>
      <x:c r="D35" s="16" t="n">
        <x:v>6</x:v>
      </x:c>
      <x:c r="E35" s="16" t="n">
        <x:v>0.779</x:v>
      </x:c>
      <x:c r="F35" s="16" t="n">
        <x:f>D35*E35</x:f>
        <x:v>4.674</x:v>
      </x:c>
      <x:c r="G35" s="16" t="n">
        <x:v>0.964</x:v>
      </x:c>
      <x:c r="H35" s="16" t="n">
        <x:f>F35/G35</x:f>
        <x:v>4.848547717842324</x:v>
      </x:c>
      <x:c r="I35" s="16" t="n">
        <x:v>0.769</x:v>
      </x:c>
      <x:c r="J35" s="16" t="n">
        <x:f>F35*I35</x:f>
        <x:v>3.5943060000000004</x:v>
      </x:c>
      <x:c r="K35" s="16" t="n">
        <x:f>J35*TAN(ACOS(G35))</x:f>
        <x:v>0.9914253197975226</x:v>
      </x:c>
      <x:c r="L35" s="16" t="n">
        <x:f>SQRT(J35^2+K35^2)</x:f>
        <x:v>3.7285331950207476</x:v>
      </x:c>
      <x:c r="M35" s="16" t="str">
        <x:v>Single Phase</x:v>
      </x:c>
      <x:c r="N35" s="16" t="str">
        <x:v>R</x:v>
      </x:c>
      <x:c r="O35" s="16" t="str">
        <x:v>No</x:v>
      </x:c>
      <x:c r="P35" s="16" t="n">
        <x:v>0</x:v>
      </x:c>
      <x:c r="Q35" s="16" t="n">
        <x:v>0.416</x:v>
      </x:c>
      <x:c r="R35" s="16" t="n">
        <x:v>0</x:v>
      </x:c>
      <x:c r="S35" s="16" t="n">
        <x:f>F35*Q35</x:f>
        <x:v>1.9443840000000001</x:v>
      </x:c>
      <x:c r="T35" s="16" t="n">
        <x:f>IF(O35="Yes",P35*R35,0)</x:f>
        <x:v>0</x:v>
      </x:c>
      <x:c r="U35" s="16" t="n">
        <x:f>S35-T35</x:f>
        <x:v>1.9443840000000001</x:v>
      </x:c>
      <x:c r="V35" s="16" t="n">
        <x:f>S35*TAN(ACOS(G35))</x:f>
        <x:v>0.5363237100595181</x:v>
      </x:c>
      <x:c r="W35" s="16" t="n">
        <x:f>SQRT(U35^2+V35^2)</x:f>
        <x:v>2.016995850622407</x:v>
      </x:c>
      <x:c r="X35" s="13" t="str">
        <x:v>No</x:v>
      </x:c>
      <x:c r="Y35" s="13" t="str"/>
      <x:c r="Z35" s="18" t="str"/>
      <x:c r="AA35" s="13" t="str"/>
      <x:c r="AB35" s="18" t="str"/>
      <x:c r="AC35" s="13" t="str">
        <x:v>No</x:v>
      </x:c>
      <x:c r="AD35" s="16" t="n">
        <x:f>IF(M35="Three Phase",J35/3,IF(N35="R",J35,0))</x:f>
        <x:v>3.5943060000000004</x:v>
      </x:c>
      <x:c r="AE35" s="16" t="n">
        <x:f>IF(M35="Three Phase",K35/3,IF(N35="R",K35,0))</x:f>
        <x:v>0.9914253197975226</x:v>
      </x:c>
      <x:c r="AF35" s="16" t="n">
        <x:f>IF(M35="Three Phase",J35/3,IF(N35="Y",J35,0))</x:f>
        <x:v>0</x:v>
      </x:c>
      <x:c r="AG35" s="16" t="n">
        <x:f>IF(M35="Three Phase",K35/3,IF(N35="Y",K35,0))</x:f>
        <x:v>0</x:v>
      </x:c>
      <x:c r="AH35" s="16" t="n">
        <x:f>IF(M35="Three Phase",J35/3,IF(N35="B",J35,0))</x:f>
        <x:v>0</x:v>
      </x:c>
      <x:c r="AI35" s="16" t="n">
        <x:f>IF(M35="Three Phase",K35/3,IF(N35="B",K35,0))</x:f>
        <x:v>0</x:v>
      </x:c>
      <x:c r="AJ35" s="16" t="n">
        <x:f>IF(M35="Three Phase",U35/3,IF(N35="R",U35,0))</x:f>
        <x:v>1.9443840000000001</x:v>
      </x:c>
      <x:c r="AK35" s="16" t="n">
        <x:f>IF(M35="Three Phase",V35/3,IF(N35="R",V35,0))</x:f>
        <x:v>0.5363237100595181</x:v>
      </x:c>
      <x:c r="AL35" s="16" t="n">
        <x:f>IF(M35="Three Phase",U35/3,IF(N35="Y",U35,0))</x:f>
        <x:v>0</x:v>
      </x:c>
      <x:c r="AM35" s="16" t="n">
        <x:f>IF(M35="Three Phase",V35/3,IF(N35="Y",V35,0))</x:f>
        <x:v>0</x:v>
      </x:c>
      <x:c r="AN35" s="16" t="n">
        <x:f>IF(M35="Three Phase",U35/3,IF(N35="B",U35,0))</x:f>
        <x:v>0</x:v>
      </x:c>
      <x:c r="AO35" s="16" t="n">
        <x:f>IF(M35="Three Phase",V35/3,IF(N35="B",V35,0))</x:f>
        <x:v>0</x:v>
      </x:c>
    </x:row>
    <x:row r="36">
      <x:c r="A36" s="13" t="str">
        <x:v>C0035</x:v>
      </x:c>
      <x:c r="B36" s="13" t="str">
        <x:v>DT-3</x:v>
      </x:c>
      <x:c r="C36" s="13" t="str">
        <x:v>Residential</x:v>
      </x:c>
      <x:c r="D36" s="16" t="n">
        <x:v>5.5</x:v>
      </x:c>
      <x:c r="E36" s="16" t="n">
        <x:v>0.472</x:v>
      </x:c>
      <x:c r="F36" s="16" t="n">
        <x:f>D36*E36</x:f>
        <x:v>2.596</x:v>
      </x:c>
      <x:c r="G36" s="16" t="n">
        <x:v>0.93</x:v>
      </x:c>
      <x:c r="H36" s="16" t="n">
        <x:f>F36/G36</x:f>
        <x:v>2.7913978494623657</x:v>
      </x:c>
      <x:c r="I36" s="16" t="n">
        <x:v>0.925</x:v>
      </x:c>
      <x:c r="J36" s="16" t="n">
        <x:f>F36*I36</x:f>
        <x:v>2.4013</x:v>
      </x:c>
      <x:c r="K36" s="16" t="n">
        <x:f>J36*TAN(ACOS(G36))</x:f>
        <x:v>0.9490544870431865</x:v>
      </x:c>
      <x:c r="L36" s="16" t="n">
        <x:f>SQRT(J36^2+K36^2)</x:f>
        <x:v>2.582043010752688</x:v>
      </x:c>
      <x:c r="M36" s="16" t="str">
        <x:v>Single Phase</x:v>
      </x:c>
      <x:c r="N36" s="16" t="str">
        <x:v>Y</x:v>
      </x:c>
      <x:c r="O36" s="16" t="str">
        <x:v>No</x:v>
      </x:c>
      <x:c r="P36" s="16" t="n">
        <x:v>0</x:v>
      </x:c>
      <x:c r="Q36" s="16" t="n">
        <x:v>0.482</x:v>
      </x:c>
      <x:c r="R36" s="16" t="n">
        <x:v>0</x:v>
      </x:c>
      <x:c r="S36" s="16" t="n">
        <x:f>F36*Q36</x:f>
        <x:v>1.251272</x:v>
      </x:c>
      <x:c r="T36" s="16" t="n">
        <x:f>IF(O36="Yes",P36*R36,0)</x:f>
        <x:v>0</x:v>
      </x:c>
      <x:c r="U36" s="16" t="n">
        <x:f>S36-T36</x:f>
        <x:v>1.251272</x:v>
      </x:c>
      <x:c r="V36" s="16" t="n">
        <x:f>S36*TAN(ACOS(G36))</x:f>
        <x:v>0.4945343381133145</x:v>
      </x:c>
      <x:c r="W36" s="16" t="n">
        <x:f>SQRT(U36^2+V36^2)</x:f>
        <x:v>1.34545376344086</x:v>
      </x:c>
      <x:c r="X36" s="13" t="str">
        <x:v>No</x:v>
      </x:c>
      <x:c r="Y36" s="13" t="str"/>
      <x:c r="Z36" s="18" t="str"/>
      <x:c r="AA36" s="13" t="str"/>
      <x:c r="AB36" s="18" t="str"/>
      <x:c r="AC36" s="13" t="str">
        <x:v>Yes</x:v>
      </x:c>
      <x:c r="AD36" s="16" t="n">
        <x:f>IF(M36="Three Phase",J36/3,IF(N36="R",J36,0))</x:f>
        <x:v>0</x:v>
      </x:c>
      <x:c r="AE36" s="16" t="n">
        <x:f>IF(M36="Three Phase",K36/3,IF(N36="R",K36,0))</x:f>
        <x:v>0</x:v>
      </x:c>
      <x:c r="AF36" s="16" t="n">
        <x:f>IF(M36="Three Phase",J36/3,IF(N36="Y",J36,0))</x:f>
        <x:v>2.4013</x:v>
      </x:c>
      <x:c r="AG36" s="16" t="n">
        <x:f>IF(M36="Three Phase",K36/3,IF(N36="Y",K36,0))</x:f>
        <x:v>0.9490544870431865</x:v>
      </x:c>
      <x:c r="AH36" s="16" t="n">
        <x:f>IF(M36="Three Phase",J36/3,IF(N36="B",J36,0))</x:f>
        <x:v>0</x:v>
      </x:c>
      <x:c r="AI36" s="16" t="n">
        <x:f>IF(M36="Three Phase",K36/3,IF(N36="B",K36,0))</x:f>
        <x:v>0</x:v>
      </x:c>
      <x:c r="AJ36" s="16" t="n">
        <x:f>IF(M36="Three Phase",U36/3,IF(N36="R",U36,0))</x:f>
        <x:v>0</x:v>
      </x:c>
      <x:c r="AK36" s="16" t="n">
        <x:f>IF(M36="Three Phase",V36/3,IF(N36="R",V36,0))</x:f>
        <x:v>0</x:v>
      </x:c>
      <x:c r="AL36" s="16" t="n">
        <x:f>IF(M36="Three Phase",U36/3,IF(N36="Y",U36,0))</x:f>
        <x:v>1.251272</x:v>
      </x:c>
      <x:c r="AM36" s="16" t="n">
        <x:f>IF(M36="Three Phase",V36/3,IF(N36="Y",V36,0))</x:f>
        <x:v>0.4945343381133145</x:v>
      </x:c>
      <x:c r="AN36" s="16" t="n">
        <x:f>IF(M36="Three Phase",U36/3,IF(N36="B",U36,0))</x:f>
        <x:v>0</x:v>
      </x:c>
      <x:c r="AO36" s="16" t="n">
        <x:f>IF(M36="Three Phase",V36/3,IF(N36="B",V36,0))</x:f>
        <x:v>0</x:v>
      </x:c>
    </x:row>
    <x:row r="37">
      <x:c r="A37" s="13" t="str">
        <x:v>C0036</x:v>
      </x:c>
      <x:c r="B37" s="13" t="str">
        <x:v>DT-3</x:v>
      </x:c>
      <x:c r="C37" s="13" t="str">
        <x:v>Commercial</x:v>
      </x:c>
      <x:c r="D37" s="16" t="n">
        <x:v>12.5</x:v>
      </x:c>
      <x:c r="E37" s="16" t="n">
        <x:v>0.605</x:v>
      </x:c>
      <x:c r="F37" s="16" t="n">
        <x:f>D37*E37</x:f>
        <x:v>7.5625</x:v>
      </x:c>
      <x:c r="G37" s="16" t="n">
        <x:v>0.954</x:v>
      </x:c>
      <x:c r="H37" s="16" t="n">
        <x:f>F37/G37</x:f>
        <x:v>7.927148846960168</x:v>
      </x:c>
      <x:c r="I37" s="16" t="n">
        <x:v>0.854</x:v>
      </x:c>
      <x:c r="J37" s="16" t="n">
        <x:f>F37*I37</x:f>
        <x:v>6.458375</x:v>
      </x:c>
      <x:c r="K37" s="16" t="n">
        <x:f>J37*TAN(ACOS(G37))</x:f>
        <x:v>2.029626287464362</x:v>
      </x:c>
      <x:c r="L37" s="16" t="n">
        <x:f>SQRT(J37^2+K37^2)</x:f>
        <x:v>6.769785115303984</x:v>
      </x:c>
      <x:c r="M37" s="16" t="str">
        <x:v>Three Phase</x:v>
      </x:c>
      <x:c r="N37" s="16" t="str">
        <x:v>RYB</x:v>
      </x:c>
      <x:c r="O37" s="16" t="str">
        <x:v>No</x:v>
      </x:c>
      <x:c r="P37" s="16" t="n">
        <x:v>0</x:v>
      </x:c>
      <x:c r="Q37" s="16" t="n">
        <x:v>0.502</x:v>
      </x:c>
      <x:c r="R37" s="16" t="n">
        <x:v>0</x:v>
      </x:c>
      <x:c r="S37" s="16" t="n">
        <x:f>F37*Q37</x:f>
        <x:v>3.796375</x:v>
      </x:c>
      <x:c r="T37" s="16" t="n">
        <x:f>IF(O37="Yes",P37*R37,0)</x:f>
        <x:v>0</x:v>
      </x:c>
      <x:c r="U37" s="16" t="n">
        <x:f>S37-T37</x:f>
        <x:v>3.796375</x:v>
      </x:c>
      <x:c r="V37" s="16" t="n">
        <x:f>S37*TAN(ACOS(G37))</x:f>
        <x:v>1.193059012069215</x:v>
      </x:c>
      <x:c r="W37" s="16" t="n">
        <x:f>SQRT(U37^2+V37^2)</x:f>
        <x:v>3.979428721174004</x:v>
      </x:c>
      <x:c r="X37" s="13" t="str">
        <x:v>No</x:v>
      </x:c>
      <x:c r="Y37" s="13" t="str"/>
      <x:c r="Z37" s="18" t="str"/>
      <x:c r="AA37" s="13" t="str"/>
      <x:c r="AB37" s="18" t="str"/>
      <x:c r="AC37" s="13" t="str">
        <x:v>No</x:v>
      </x:c>
      <x:c r="AD37" s="16" t="n">
        <x:f>IF(M37="Three Phase",J37/3,IF(N37="R",J37,0))</x:f>
        <x:v>2.152791666666667</x:v>
      </x:c>
      <x:c r="AE37" s="16" t="n">
        <x:f>IF(M37="Three Phase",K37/3,IF(N37="R",K37,0))</x:f>
        <x:v>0.676542095821454</x:v>
      </x:c>
      <x:c r="AF37" s="16" t="n">
        <x:f>IF(M37="Three Phase",J37/3,IF(N37="Y",J37,0))</x:f>
        <x:v>2.152791666666667</x:v>
      </x:c>
      <x:c r="AG37" s="16" t="n">
        <x:f>IF(M37="Three Phase",K37/3,IF(N37="Y",K37,0))</x:f>
        <x:v>0.676542095821454</x:v>
      </x:c>
      <x:c r="AH37" s="16" t="n">
        <x:f>IF(M37="Three Phase",J37/3,IF(N37="B",J37,0))</x:f>
        <x:v>2.152791666666667</x:v>
      </x:c>
      <x:c r="AI37" s="16" t="n">
        <x:f>IF(M37="Three Phase",K37/3,IF(N37="B",K37,0))</x:f>
        <x:v>0.676542095821454</x:v>
      </x:c>
      <x:c r="AJ37" s="16" t="n">
        <x:f>IF(M37="Three Phase",U37/3,IF(N37="R",U37,0))</x:f>
        <x:v>1.2654583333333334</x:v>
      </x:c>
      <x:c r="AK37" s="16" t="n">
        <x:f>IF(M37="Three Phase",V37/3,IF(N37="R",V37,0))</x:f>
        <x:v>0.397686337356405</x:v>
      </x:c>
      <x:c r="AL37" s="16" t="n">
        <x:f>IF(M37="Three Phase",U37/3,IF(N37="Y",U37,0))</x:f>
        <x:v>1.2654583333333334</x:v>
      </x:c>
      <x:c r="AM37" s="16" t="n">
        <x:f>IF(M37="Three Phase",V37/3,IF(N37="Y",V37,0))</x:f>
        <x:v>0.397686337356405</x:v>
      </x:c>
      <x:c r="AN37" s="16" t="n">
        <x:f>IF(M37="Three Phase",U37/3,IF(N37="B",U37,0))</x:f>
        <x:v>1.2654583333333334</x:v>
      </x:c>
      <x:c r="AO37" s="16" t="n">
        <x:f>IF(M37="Three Phase",V37/3,IF(N37="B",V37,0))</x:f>
        <x:v>0.397686337356405</x:v>
      </x:c>
    </x:row>
    <x:row r="38">
      <x:c r="A38" s="13" t="str">
        <x:v>C0037</x:v>
      </x:c>
      <x:c r="B38" s="13" t="str">
        <x:v>DT-3</x:v>
      </x:c>
      <x:c r="C38" s="13" t="str">
        <x:v>Residential</x:v>
      </x:c>
      <x:c r="D38" s="16" t="n">
        <x:v>2.5</x:v>
      </x:c>
      <x:c r="E38" s="16" t="n">
        <x:v>0.505</x:v>
      </x:c>
      <x:c r="F38" s="16" t="n">
        <x:f>D38*E38</x:f>
        <x:v>1.2625</x:v>
      </x:c>
      <x:c r="G38" s="16" t="n">
        <x:v>0.933</x:v>
      </x:c>
      <x:c r="H38" s="16" t="n">
        <x:f>F38/G38</x:f>
        <x:v>1.3531618435155413</x:v>
      </x:c>
      <x:c r="I38" s="16" t="n">
        <x:v>0.78</x:v>
      </x:c>
      <x:c r="J38" s="16" t="n">
        <x:f>F38*I38</x:f>
        <x:v>0.98475</x:v>
      </x:c>
      <x:c r="K38" s="16" t="n">
        <x:f>J38*TAN(ACOS(G38))</x:f>
        <x:v>0.37983735589814804</x:v>
      </x:c>
      <x:c r="L38" s="16" t="n">
        <x:f>SQRT(J38^2+K38^2)</x:f>
        <x:v>1.0554662379421222</x:v>
      </x:c>
      <x:c r="M38" s="16" t="str">
        <x:v>Single Phase</x:v>
      </x:c>
      <x:c r="N38" s="16" t="str">
        <x:v>R</x:v>
      </x:c>
      <x:c r="O38" s="16" t="str">
        <x:v>No</x:v>
      </x:c>
      <x:c r="P38" s="16" t="n">
        <x:v>0</x:v>
      </x:c>
      <x:c r="Q38" s="16" t="n">
        <x:v>0.32</x:v>
      </x:c>
      <x:c r="R38" s="16" t="n">
        <x:v>0</x:v>
      </x:c>
      <x:c r="S38" s="16" t="n">
        <x:f>F38*Q38</x:f>
        <x:v>0.40399999999999997</x:v>
      </x:c>
      <x:c r="T38" s="16" t="n">
        <x:f>IF(O38="Yes",P38*R38,0)</x:f>
        <x:v>0</x:v>
      </x:c>
      <x:c r="U38" s="16" t="n">
        <x:f>S38-T38</x:f>
        <x:v>0.40399999999999997</x:v>
      </x:c>
      <x:c r="V38" s="16" t="n">
        <x:f>S38*TAN(ACOS(G38))</x:f>
        <x:v>0.1558307101120607</x:v>
      </x:c>
      <x:c r="W38" s="16" t="n">
        <x:f>SQRT(U38^2+V38^2)</x:f>
        <x:v>0.43301178992497313</x:v>
      </x:c>
      <x:c r="X38" s="13" t="str">
        <x:v>No</x:v>
      </x:c>
      <x:c r="Y38" s="13" t="str"/>
      <x:c r="Z38" s="18" t="str"/>
      <x:c r="AA38" s="13" t="str"/>
      <x:c r="AB38" s="18" t="str"/>
      <x:c r="AC38" s="13" t="str">
        <x:v>Yes</x:v>
      </x:c>
      <x:c r="AD38" s="16" t="n">
        <x:f>IF(M38="Three Phase",J38/3,IF(N38="R",J38,0))</x:f>
        <x:v>0.98475</x:v>
      </x:c>
      <x:c r="AE38" s="16" t="n">
        <x:f>IF(M38="Three Phase",K38/3,IF(N38="R",K38,0))</x:f>
        <x:v>0.37983735589814804</x:v>
      </x:c>
      <x:c r="AF38" s="16" t="n">
        <x:f>IF(M38="Three Phase",J38/3,IF(N38="Y",J38,0))</x:f>
        <x:v>0</x:v>
      </x:c>
      <x:c r="AG38" s="16" t="n">
        <x:f>IF(M38="Three Phase",K38/3,IF(N38="Y",K38,0))</x:f>
        <x:v>0</x:v>
      </x:c>
      <x:c r="AH38" s="16" t="n">
        <x:f>IF(M38="Three Phase",J38/3,IF(N38="B",J38,0))</x:f>
        <x:v>0</x:v>
      </x:c>
      <x:c r="AI38" s="16" t="n">
        <x:f>IF(M38="Three Phase",K38/3,IF(N38="B",K38,0))</x:f>
        <x:v>0</x:v>
      </x:c>
      <x:c r="AJ38" s="16" t="n">
        <x:f>IF(M38="Three Phase",U38/3,IF(N38="R",U38,0))</x:f>
        <x:v>0.40399999999999997</x:v>
      </x:c>
      <x:c r="AK38" s="16" t="n">
        <x:f>IF(M38="Three Phase",V38/3,IF(N38="R",V38,0))</x:f>
        <x:v>0.1558307101120607</x:v>
      </x:c>
      <x:c r="AL38" s="16" t="n">
        <x:f>IF(M38="Three Phase",U38/3,IF(N38="Y",U38,0))</x:f>
        <x:v>0</x:v>
      </x:c>
      <x:c r="AM38" s="16" t="n">
        <x:f>IF(M38="Three Phase",V38/3,IF(N38="Y",V38,0))</x:f>
        <x:v>0</x:v>
      </x:c>
      <x:c r="AN38" s="16" t="n">
        <x:f>IF(M38="Three Phase",U38/3,IF(N38="B",U38,0))</x:f>
        <x:v>0</x:v>
      </x:c>
      <x:c r="AO38" s="16" t="n">
        <x:f>IF(M38="Three Phase",V38/3,IF(N38="B",V38,0))</x:f>
        <x:v>0</x:v>
      </x:c>
    </x:row>
    <x:row r="39">
      <x:c r="A39" s="13" t="str">
        <x:v>C0038</x:v>
      </x:c>
      <x:c r="B39" s="13" t="str">
        <x:v>DT-3</x:v>
      </x:c>
      <x:c r="C39" s="13" t="str">
        <x:v>Commercial</x:v>
      </x:c>
      <x:c r="D39" s="16" t="n">
        <x:v>10</x:v>
      </x:c>
      <x:c r="E39" s="16" t="n">
        <x:v>0.661</x:v>
      </x:c>
      <x:c r="F39" s="16" t="n">
        <x:f>D39*E39</x:f>
        <x:v>6.61</x:v>
      </x:c>
      <x:c r="G39" s="16" t="n">
        <x:v>0.901</x:v>
      </x:c>
      <x:c r="H39" s="16" t="n">
        <x:f>F39/G39</x:f>
        <x:v>7.336293007769146</x:v>
      </x:c>
      <x:c r="I39" s="16" t="n">
        <x:v>0.667</x:v>
      </x:c>
      <x:c r="J39" s="16" t="n">
        <x:f>F39*I39</x:f>
        <x:v>4.40887</x:v>
      </x:c>
      <x:c r="K39" s="16" t="n">
        <x:f>J39*TAN(ACOS(G39))</x:f>
        <x:v>2.1228101629901466</x:v>
      </x:c>
      <x:c r="L39" s="16" t="n">
        <x:f>SQRT(J39^2+K39^2)</x:f>
        <x:v>4.89330743618202</x:v>
      </x:c>
      <x:c r="M39" s="16" t="str">
        <x:v>Three Phase</x:v>
      </x:c>
      <x:c r="N39" s="16" t="str">
        <x:v>RYB</x:v>
      </x:c>
      <x:c r="O39" s="16" t="str">
        <x:v>No</x:v>
      </x:c>
      <x:c r="P39" s="16" t="n">
        <x:v>0</x:v>
      </x:c>
      <x:c r="Q39" s="16" t="n">
        <x:v>0.608</x:v>
      </x:c>
      <x:c r="R39" s="16" t="n">
        <x:v>0</x:v>
      </x:c>
      <x:c r="S39" s="16" t="n">
        <x:f>F39*Q39</x:f>
        <x:v>4.01888</x:v>
      </x:c>
      <x:c r="T39" s="16" t="n">
        <x:f>IF(O39="Yes",P39*R39,0)</x:f>
        <x:v>0</x:v>
      </x:c>
      <x:c r="U39" s="16" t="n">
        <x:f>S39-T39</x:f>
        <x:v>4.01888</x:v>
      </x:c>
      <x:c r="V39" s="16" t="n">
        <x:f>S39*TAN(ACOS(G39))</x:f>
        <x:v>1.935035350971528</x:v>
      </x:c>
      <x:c r="W39" s="16" t="n">
        <x:f>SQRT(U39^2+V39^2)</x:f>
        <x:v>4.460466148723641</x:v>
      </x:c>
      <x:c r="X39" s="13" t="str">
        <x:v>Yes</x:v>
      </x:c>
      <x:c r="Y39" s="13" t="str">
        <x:v>DT-6</x:v>
      </x:c>
      <x:c r="Z39" s="18" t="n">
        <x:v>113</x:v>
      </x:c>
      <x:c r="AA39" s="13" t="str"/>
      <x:c r="AB39" s="18" t="str"/>
      <x:c r="AC39" s="13" t="str">
        <x:v>No</x:v>
      </x:c>
      <x:c r="AD39" s="16" t="n">
        <x:f>IF(M39="Three Phase",J39/3,IF(N39="R",J39,0))</x:f>
        <x:v>1.4696233333333335</x:v>
      </x:c>
      <x:c r="AE39" s="16" t="n">
        <x:f>IF(M39="Three Phase",K39/3,IF(N39="R",K39,0))</x:f>
        <x:v>0.7076033876633822</x:v>
      </x:c>
      <x:c r="AF39" s="16" t="n">
        <x:f>IF(M39="Three Phase",J39/3,IF(N39="Y",J39,0))</x:f>
        <x:v>1.4696233333333335</x:v>
      </x:c>
      <x:c r="AG39" s="16" t="n">
        <x:f>IF(M39="Three Phase",K39/3,IF(N39="Y",K39,0))</x:f>
        <x:v>0.7076033876633822</x:v>
      </x:c>
      <x:c r="AH39" s="16" t="n">
        <x:f>IF(M39="Three Phase",J39/3,IF(N39="B",J39,0))</x:f>
        <x:v>1.4696233333333335</x:v>
      </x:c>
      <x:c r="AI39" s="16" t="n">
        <x:f>IF(M39="Three Phase",K39/3,IF(N39="B",K39,0))</x:f>
        <x:v>0.7076033876633822</x:v>
      </x:c>
      <x:c r="AJ39" s="16" t="n">
        <x:f>IF(M39="Three Phase",U39/3,IF(N39="R",U39,0))</x:f>
        <x:v>1.3396266666666667</x:v>
      </x:c>
      <x:c r="AK39" s="16" t="n">
        <x:f>IF(M39="Three Phase",V39/3,IF(N39="R",V39,0))</x:f>
        <x:v>0.6450117836571759</x:v>
      </x:c>
      <x:c r="AL39" s="16" t="n">
        <x:f>IF(M39="Three Phase",U39/3,IF(N39="Y",U39,0))</x:f>
        <x:v>1.3396266666666667</x:v>
      </x:c>
      <x:c r="AM39" s="16" t="n">
        <x:f>IF(M39="Three Phase",V39/3,IF(N39="Y",V39,0))</x:f>
        <x:v>0.6450117836571759</x:v>
      </x:c>
      <x:c r="AN39" s="16" t="n">
        <x:f>IF(M39="Three Phase",U39/3,IF(N39="B",U39,0))</x:f>
        <x:v>1.3396266666666667</x:v>
      </x:c>
      <x:c r="AO39" s="16" t="n">
        <x:f>IF(M39="Three Phase",V39/3,IF(N39="B",V39,0))</x:f>
        <x:v>0.6450117836571759</x:v>
      </x:c>
    </x:row>
    <x:row r="40">
      <x:c r="A40" s="13" t="str">
        <x:v>C0039</x:v>
      </x:c>
      <x:c r="B40" s="13" t="str">
        <x:v>DT-3</x:v>
      </x:c>
      <x:c r="C40" s="13" t="str">
        <x:v>Residential</x:v>
      </x:c>
      <x:c r="D40" s="16" t="n">
        <x:v>4</x:v>
      </x:c>
      <x:c r="E40" s="16" t="n">
        <x:v>0.462</x:v>
      </x:c>
      <x:c r="F40" s="16" t="n">
        <x:f>D40*E40</x:f>
        <x:v>1.848</x:v>
      </x:c>
      <x:c r="G40" s="16" t="n">
        <x:v>0.952</x:v>
      </x:c>
      <x:c r="H40" s="16" t="n">
        <x:f>F40/G40</x:f>
        <x:v>1.9411764705882355</x:v>
      </x:c>
      <x:c r="I40" s="16" t="n">
        <x:v>0.91</x:v>
      </x:c>
      <x:c r="J40" s="16" t="n">
        <x:f>F40*I40</x:f>
        <x:v>1.68168</x:v>
      </x:c>
      <x:c r="K40" s="16" t="n">
        <x:f>J40*TAN(ACOS(G40))</x:f>
        <x:v>0.5407131556568107</x:v>
      </x:c>
      <x:c r="L40" s="16" t="n">
        <x:f>SQRT(J40^2+K40^2)</x:f>
        <x:v>1.7664705882352942</x:v>
      </x:c>
      <x:c r="M40" s="16" t="str">
        <x:v>Single Phase</x:v>
      </x:c>
      <x:c r="N40" s="16" t="str">
        <x:v>R</x:v>
      </x:c>
      <x:c r="O40" s="16" t="str">
        <x:v>No</x:v>
      </x:c>
      <x:c r="P40" s="16" t="n">
        <x:v>0</x:v>
      </x:c>
      <x:c r="Q40" s="16" t="n">
        <x:v>0.413</x:v>
      </x:c>
      <x:c r="R40" s="16" t="n">
        <x:v>0</x:v>
      </x:c>
      <x:c r="S40" s="16" t="n">
        <x:f>F40*Q40</x:f>
        <x:v>0.763224</x:v>
      </x:c>
      <x:c r="T40" s="16" t="n">
        <x:f>IF(O40="Yes",P40*R40,0)</x:f>
        <x:v>0</x:v>
      </x:c>
      <x:c r="U40" s="16" t="n">
        <x:f>S40-T40</x:f>
        <x:v>0.763224</x:v>
      </x:c>
      <x:c r="V40" s="16" t="n">
        <x:f>S40*TAN(ACOS(G40))</x:f>
        <x:v>0.2454005860288602</x:v>
      </x:c>
      <x:c r="W40" s="16" t="n">
        <x:f>SQRT(U40^2+V40^2)</x:f>
        <x:v>0.8017058823529413</x:v>
      </x:c>
      <x:c r="X40" s="13" t="str">
        <x:v>Yes</x:v>
      </x:c>
      <x:c r="Y40" s="13" t="str">
        <x:v>DT-6</x:v>
      </x:c>
      <x:c r="Z40" s="18" t="n">
        <x:v>33</x:v>
      </x:c>
      <x:c r="AA40" s="13" t="str"/>
      <x:c r="AB40" s="18" t="str"/>
      <x:c r="AC40" s="13" t="str">
        <x:v>Yes</x:v>
      </x:c>
      <x:c r="AD40" s="16" t="n">
        <x:f>IF(M40="Three Phase",J40/3,IF(N40="R",J40,0))</x:f>
        <x:v>1.68168</x:v>
      </x:c>
      <x:c r="AE40" s="16" t="n">
        <x:f>IF(M40="Three Phase",K40/3,IF(N40="R",K40,0))</x:f>
        <x:v>0.5407131556568107</x:v>
      </x:c>
      <x:c r="AF40" s="16" t="n">
        <x:f>IF(M40="Three Phase",J40/3,IF(N40="Y",J40,0))</x:f>
        <x:v>0</x:v>
      </x:c>
      <x:c r="AG40" s="16" t="n">
        <x:f>IF(M40="Three Phase",K40/3,IF(N40="Y",K40,0))</x:f>
        <x:v>0</x:v>
      </x:c>
      <x:c r="AH40" s="16" t="n">
        <x:f>IF(M40="Three Phase",J40/3,IF(N40="B",J40,0))</x:f>
        <x:v>0</x:v>
      </x:c>
      <x:c r="AI40" s="16" t="n">
        <x:f>IF(M40="Three Phase",K40/3,IF(N40="B",K40,0))</x:f>
        <x:v>0</x:v>
      </x:c>
      <x:c r="AJ40" s="16" t="n">
        <x:f>IF(M40="Three Phase",U40/3,IF(N40="R",U40,0))</x:f>
        <x:v>0.763224</x:v>
      </x:c>
      <x:c r="AK40" s="16" t="n">
        <x:f>IF(M40="Three Phase",V40/3,IF(N40="R",V40,0))</x:f>
        <x:v>0.2454005860288602</x:v>
      </x:c>
      <x:c r="AL40" s="16" t="n">
        <x:f>IF(M40="Three Phase",U40/3,IF(N40="Y",U40,0))</x:f>
        <x:v>0</x:v>
      </x:c>
      <x:c r="AM40" s="16" t="n">
        <x:f>IF(M40="Three Phase",V40/3,IF(N40="Y",V40,0))</x:f>
        <x:v>0</x:v>
      </x:c>
      <x:c r="AN40" s="16" t="n">
        <x:f>IF(M40="Three Phase",U40/3,IF(N40="B",U40,0))</x:f>
        <x:v>0</x:v>
      </x:c>
      <x:c r="AO40" s="16" t="n">
        <x:f>IF(M40="Three Phase",V40/3,IF(N40="B",V40,0))</x:f>
        <x:v>0</x:v>
      </x:c>
    </x:row>
    <x:row r="41">
      <x:c r="A41" s="13" t="str">
        <x:v>C0040</x:v>
      </x:c>
      <x:c r="B41" s="13" t="str">
        <x:v>DT-3</x:v>
      </x:c>
      <x:c r="C41" s="13" t="str">
        <x:v>Commercial</x:v>
      </x:c>
      <x:c r="D41" s="16" t="n">
        <x:v>10.5</x:v>
      </x:c>
      <x:c r="E41" s="16" t="n">
        <x:v>0.875</x:v>
      </x:c>
      <x:c r="F41" s="16" t="n">
        <x:f>D41*E41</x:f>
        <x:v>9.1875</x:v>
      </x:c>
      <x:c r="G41" s="16" t="n">
        <x:v>0.981</x:v>
      </x:c>
      <x:c r="H41" s="16" t="n">
        <x:f>F41/G41</x:f>
        <x:v>9.365443425076453</x:v>
      </x:c>
      <x:c r="I41" s="16" t="n">
        <x:v>0.614</x:v>
      </x:c>
      <x:c r="J41" s="16" t="n">
        <x:f>F41*I41</x:f>
        <x:v>5.641125</x:v>
      </x:c>
      <x:c r="K41" s="16" t="n">
        <x:f>J41*TAN(ACOS(G41))</x:f>
        <x:v>1.1156186198539497</x:v>
      </x:c>
      <x:c r="L41" s="16" t="n">
        <x:f>SQRT(J41^2+K41^2)</x:f>
        <x:v>5.750382262996942</x:v>
      </x:c>
      <x:c r="M41" s="16" t="str">
        <x:v>Three Phase</x:v>
      </x:c>
      <x:c r="N41" s="16" t="str">
        <x:v>RYB</x:v>
      </x:c>
      <x:c r="O41" s="16" t="str">
        <x:v>Yes</x:v>
      </x:c>
      <x:c r="P41" s="16" t="n">
        <x:v>10.5</x:v>
      </x:c>
      <x:c r="Q41" s="16" t="n">
        <x:v>0.579</x:v>
      </x:c>
      <x:c r="R41" s="16" t="n">
        <x:v>0.915</x:v>
      </x:c>
      <x:c r="S41" s="16" t="n">
        <x:f>F41*Q41</x:f>
        <x:v>5.3195625</x:v>
      </x:c>
      <x:c r="T41" s="16" t="n">
        <x:f>IF(O41="Yes",P41*R41,0)</x:f>
        <x:v>9.6075</x:v>
      </x:c>
      <x:c r="U41" s="16" t="n">
        <x:f>S41-T41</x:f>
        <x:v>-4.2879375</x:v>
      </x:c>
      <x:c r="V41" s="16" t="n">
        <x:f>S41*TAN(ACOS(G41))</x:f>
        <x:v>1.0520247245854022</x:v>
      </x:c>
      <x:c r="W41" s="16" t="n">
        <x:f>SQRT(U41^2+V41^2)</x:f>
        <x:v>4.415106343571494</x:v>
      </x:c>
      <x:c r="X41" s="13" t="str">
        <x:v>Yes</x:v>
      </x:c>
      <x:c r="Y41" s="13" t="str">
        <x:v>DT-2</x:v>
      </x:c>
      <x:c r="Z41" s="18" t="n">
        <x:v>135</x:v>
      </x:c>
      <x:c r="AA41" s="13" t="str"/>
      <x:c r="AB41" s="18" t="str"/>
      <x:c r="AC41" s="13" t="str">
        <x:v>No</x:v>
      </x:c>
      <x:c r="AD41" s="16" t="n">
        <x:f>IF(M41="Three Phase",J41/3,IF(N41="R",J41,0))</x:f>
        <x:v>1.880375</x:v>
      </x:c>
      <x:c r="AE41" s="16" t="n">
        <x:f>IF(M41="Three Phase",K41/3,IF(N41="R",K41,0))</x:f>
        <x:v>0.3718728732846499</x:v>
      </x:c>
      <x:c r="AF41" s="16" t="n">
        <x:f>IF(M41="Three Phase",J41/3,IF(N41="Y",J41,0))</x:f>
        <x:v>1.880375</x:v>
      </x:c>
      <x:c r="AG41" s="16" t="n">
        <x:f>IF(M41="Three Phase",K41/3,IF(N41="Y",K41,0))</x:f>
        <x:v>0.3718728732846499</x:v>
      </x:c>
      <x:c r="AH41" s="16" t="n">
        <x:f>IF(M41="Three Phase",J41/3,IF(N41="B",J41,0))</x:f>
        <x:v>1.880375</x:v>
      </x:c>
      <x:c r="AI41" s="16" t="n">
        <x:f>IF(M41="Three Phase",K41/3,IF(N41="B",K41,0))</x:f>
        <x:v>0.3718728732846499</x:v>
      </x:c>
      <x:c r="AJ41" s="16" t="n">
        <x:f>IF(M41="Three Phase",U41/3,IF(N41="R",U41,0))</x:f>
        <x:v>-1.4293125</x:v>
      </x:c>
      <x:c r="AK41" s="16" t="n">
        <x:f>IF(M41="Three Phase",V41/3,IF(N41="R",V41,0))</x:f>
        <x:v>0.3506749081951341</x:v>
      </x:c>
      <x:c r="AL41" s="16" t="n">
        <x:f>IF(M41="Three Phase",U41/3,IF(N41="Y",U41,0))</x:f>
        <x:v>-1.4293125</x:v>
      </x:c>
      <x:c r="AM41" s="16" t="n">
        <x:f>IF(M41="Three Phase",V41/3,IF(N41="Y",V41,0))</x:f>
        <x:v>0.3506749081951341</x:v>
      </x:c>
      <x:c r="AN41" s="16" t="n">
        <x:f>IF(M41="Three Phase",U41/3,IF(N41="B",U41,0))</x:f>
        <x:v>-1.4293125</x:v>
      </x:c>
      <x:c r="AO41" s="16" t="n">
        <x:f>IF(M41="Three Phase",V41/3,IF(N41="B",V41,0))</x:f>
        <x:v>0.3506749081951341</x:v>
      </x:c>
    </x:row>
    <x:row r="42">
      <x:c r="A42" s="13" t="str">
        <x:v>C0041</x:v>
      </x:c>
      <x:c r="B42" s="13" t="str">
        <x:v>DT-3</x:v>
      </x:c>
      <x:c r="C42" s="13" t="str">
        <x:v>Residential</x:v>
      </x:c>
      <x:c r="D42" s="16" t="n">
        <x:v>7</x:v>
      </x:c>
      <x:c r="E42" s="16" t="n">
        <x:v>0.576</x:v>
      </x:c>
      <x:c r="F42" s="16" t="n">
        <x:f>D42*E42</x:f>
        <x:v>4.032</x:v>
      </x:c>
      <x:c r="G42" s="16" t="n">
        <x:v>0.978</x:v>
      </x:c>
      <x:c r="H42" s="16" t="n">
        <x:f>F42/G42</x:f>
        <x:v>4.122699386503068</x:v>
      </x:c>
      <x:c r="I42" s="16" t="n">
        <x:v>0.975</x:v>
      </x:c>
      <x:c r="J42" s="16" t="n">
        <x:f>F42*I42</x:f>
        <x:v>3.9312</x:v>
      </x:c>
      <x:c r="K42" s="16" t="n">
        <x:f>J42*TAN(ACOS(G42))</x:f>
        <x:v>0.838514869453012</x:v>
      </x:c>
      <x:c r="L42" s="16" t="n">
        <x:f>SQRT(J42^2+K42^2)</x:f>
        <x:v>4.019631901840491</x:v>
      </x:c>
      <x:c r="M42" s="16" t="str">
        <x:v>Three Phase</x:v>
      </x:c>
      <x:c r="N42" s="16" t="str">
        <x:v>RYB</x:v>
      </x:c>
      <x:c r="O42" s="16" t="str">
        <x:v>Yes</x:v>
      </x:c>
      <x:c r="P42" s="16" t="n">
        <x:v>1</x:v>
      </x:c>
      <x:c r="Q42" s="16" t="n">
        <x:v>0.423</x:v>
      </x:c>
      <x:c r="R42" s="16" t="n">
        <x:v>0.928</x:v>
      </x:c>
      <x:c r="S42" s="16" t="n">
        <x:f>F42*Q42</x:f>
        <x:v>1.705536</x:v>
      </x:c>
      <x:c r="T42" s="16" t="n">
        <x:f>IF(O42="Yes",P42*R42,0)</x:f>
        <x:v>0.928</x:v>
      </x:c>
      <x:c r="U42" s="16" t="n">
        <x:f>S42-T42</x:f>
        <x:v>0.7775359999999999</x:v>
      </x:c>
      <x:c r="V42" s="16" t="n">
        <x:f>S42*TAN(ACOS(G42))</x:f>
        <x:v>0.363786451054999</x:v>
      </x:c>
      <x:c r="W42" s="16" t="n">
        <x:f>SQRT(U42^2+V42^2)</x:f>
        <x:v>0.8584304358928515</x:v>
      </x:c>
      <x:c r="X42" s="13" t="str">
        <x:v>Yes</x:v>
      </x:c>
      <x:c r="Y42" s="13" t="str">
        <x:v>DT-2</x:v>
      </x:c>
      <x:c r="Z42" s="18" t="n">
        <x:v>31</x:v>
      </x:c>
      <x:c r="AA42" s="13" t="str"/>
      <x:c r="AB42" s="18" t="str"/>
      <x:c r="AC42" s="13" t="str">
        <x:v>No</x:v>
      </x:c>
      <x:c r="AD42" s="16" t="n">
        <x:f>IF(M42="Three Phase",J42/3,IF(N42="R",J42,0))</x:f>
        <x:v>1.3104</x:v>
      </x:c>
      <x:c r="AE42" s="16" t="n">
        <x:f>IF(M42="Three Phase",K42/3,IF(N42="R",K42,0))</x:f>
        <x:v>0.2795049564843373</x:v>
      </x:c>
      <x:c r="AF42" s="16" t="n">
        <x:f>IF(M42="Three Phase",J42/3,IF(N42="Y",J42,0))</x:f>
        <x:v>1.3104</x:v>
      </x:c>
      <x:c r="AG42" s="16" t="n">
        <x:f>IF(M42="Three Phase",K42/3,IF(N42="Y",K42,0))</x:f>
        <x:v>0.2795049564843373</x:v>
      </x:c>
      <x:c r="AH42" s="16" t="n">
        <x:f>IF(M42="Three Phase",J42/3,IF(N42="B",J42,0))</x:f>
        <x:v>1.3104</x:v>
      </x:c>
      <x:c r="AI42" s="16" t="n">
        <x:f>IF(M42="Three Phase",K42/3,IF(N42="B",K42,0))</x:f>
        <x:v>0.2795049564843373</x:v>
      </x:c>
      <x:c r="AJ42" s="16" t="n">
        <x:f>IF(M42="Three Phase",U42/3,IF(N42="R",U42,0))</x:f>
        <x:v>0.2591786666666666</x:v>
      </x:c>
      <x:c r="AK42" s="16" t="n">
        <x:f>IF(M42="Three Phase",V42/3,IF(N42="R",V42,0))</x:f>
        <x:v>0.12126215035166633</x:v>
      </x:c>
      <x:c r="AL42" s="16" t="n">
        <x:f>IF(M42="Three Phase",U42/3,IF(N42="Y",U42,0))</x:f>
        <x:v>0.2591786666666666</x:v>
      </x:c>
      <x:c r="AM42" s="16" t="n">
        <x:f>IF(M42="Three Phase",V42/3,IF(N42="Y",V42,0))</x:f>
        <x:v>0.12126215035166633</x:v>
      </x:c>
      <x:c r="AN42" s="16" t="n">
        <x:f>IF(M42="Three Phase",U42/3,IF(N42="B",U42,0))</x:f>
        <x:v>0.2591786666666666</x:v>
      </x:c>
      <x:c r="AO42" s="16" t="n">
        <x:f>IF(M42="Three Phase",V42/3,IF(N42="B",V42,0))</x:f>
        <x:v>0.12126215035166633</x:v>
      </x:c>
    </x:row>
    <x:row r="43">
      <x:c r="A43" s="13" t="str">
        <x:v>C0042</x:v>
      </x:c>
      <x:c r="B43" s="13" t="str">
        <x:v>DT-3</x:v>
      </x:c>
      <x:c r="C43" s="13" t="str">
        <x:v>Residential</x:v>
      </x:c>
      <x:c r="D43" s="16" t="n">
        <x:v>5</x:v>
      </x:c>
      <x:c r="E43" s="16" t="n">
        <x:v>0.407</x:v>
      </x:c>
      <x:c r="F43" s="16" t="n">
        <x:f>D43*E43</x:f>
        <x:v>2.0349999999999997</x:v>
      </x:c>
      <x:c r="G43" s="16" t="n">
        <x:v>0.932</x:v>
      </x:c>
      <x:c r="H43" s="16" t="n">
        <x:f>F43/G43</x:f>
        <x:v>2.183476394849785</x:v>
      </x:c>
      <x:c r="I43" s="16" t="n">
        <x:v>0.855</x:v>
      </x:c>
      <x:c r="J43" s="16" t="n">
        <x:f>F43*I43</x:f>
        <x:v>1.7399249999999997</x:v>
      </x:c>
      <x:c r="K43" s="16" t="n">
        <x:f>J43*TAN(ACOS(G43))</x:f>
        <x:v>0.6766633170073393</x:v>
      </x:c>
      <x:c r="L43" s="16" t="n">
        <x:f>SQRT(J43^2+K43^2)</x:f>
        <x:v>1.8668723175965662</x:v>
      </x:c>
      <x:c r="M43" s="16" t="str">
        <x:v>Single Phase</x:v>
      </x:c>
      <x:c r="N43" s="16" t="str">
        <x:v>B</x:v>
      </x:c>
      <x:c r="O43" s="16" t="str">
        <x:v>No</x:v>
      </x:c>
      <x:c r="P43" s="16" t="n">
        <x:v>0</x:v>
      </x:c>
      <x:c r="Q43" s="16" t="n">
        <x:v>0.482</x:v>
      </x:c>
      <x:c r="R43" s="16" t="n">
        <x:v>0</x:v>
      </x:c>
      <x:c r="S43" s="16" t="n">
        <x:f>F43*Q43</x:f>
        <x:v>0.9808699999999998</x:v>
      </x:c>
      <x:c r="T43" s="16" t="n">
        <x:f>IF(O43="Yes",P43*R43,0)</x:f>
        <x:v>0</x:v>
      </x:c>
      <x:c r="U43" s="16" t="n">
        <x:f>S43-T43</x:f>
        <x:v>0.9808699999999998</x:v>
      </x:c>
      <x:c r="V43" s="16" t="n">
        <x:f>S43*TAN(ACOS(G43))</x:f>
        <x:v>0.3814639985936112</x:v>
      </x:c>
      <x:c r="W43" s="16" t="n">
        <x:f>SQRT(U43^2+V43^2)</x:f>
        <x:v>1.0524356223175964</x:v>
      </x:c>
      <x:c r="X43" s="13" t="str">
        <x:v>No</x:v>
      </x:c>
      <x:c r="Y43" s="13" t="str"/>
      <x:c r="Z43" s="18" t="str"/>
      <x:c r="AA43" s="13" t="str"/>
      <x:c r="AB43" s="18" t="str"/>
      <x:c r="AC43" s="13" t="str">
        <x:v>Yes</x:v>
      </x:c>
      <x:c r="AD43" s="16" t="n">
        <x:f>IF(M43="Three Phase",J43/3,IF(N43="R",J43,0))</x:f>
        <x:v>0</x:v>
      </x:c>
      <x:c r="AE43" s="16" t="n">
        <x:f>IF(M43="Three Phase",K43/3,IF(N43="R",K43,0))</x:f>
        <x:v>0</x:v>
      </x:c>
      <x:c r="AF43" s="16" t="n">
        <x:f>IF(M43="Three Phase",J43/3,IF(N43="Y",J43,0))</x:f>
        <x:v>0</x:v>
      </x:c>
      <x:c r="AG43" s="16" t="n">
        <x:f>IF(M43="Three Phase",K43/3,IF(N43="Y",K43,0))</x:f>
        <x:v>0</x:v>
      </x:c>
      <x:c r="AH43" s="16" t="n">
        <x:f>IF(M43="Three Phase",J43/3,IF(N43="B",J43,0))</x:f>
        <x:v>1.7399249999999997</x:v>
      </x:c>
      <x:c r="AI43" s="16" t="n">
        <x:f>IF(M43="Three Phase",K43/3,IF(N43="B",K43,0))</x:f>
        <x:v>0.6766633170073393</x:v>
      </x:c>
      <x:c r="AJ43" s="16" t="n">
        <x:f>IF(M43="Three Phase",U43/3,IF(N43="R",U43,0))</x:f>
        <x:v>0</x:v>
      </x:c>
      <x:c r="AK43" s="16" t="n">
        <x:f>IF(M43="Three Phase",V43/3,IF(N43="R",V43,0))</x:f>
        <x:v>0</x:v>
      </x:c>
      <x:c r="AL43" s="16" t="n">
        <x:f>IF(M43="Three Phase",U43/3,IF(N43="Y",U43,0))</x:f>
        <x:v>0</x:v>
      </x:c>
      <x:c r="AM43" s="16" t="n">
        <x:f>IF(M43="Three Phase",V43/3,IF(N43="Y",V43,0))</x:f>
        <x:v>0</x:v>
      </x:c>
      <x:c r="AN43" s="16" t="n">
        <x:f>IF(M43="Three Phase",U43/3,IF(N43="B",U43,0))</x:f>
        <x:v>0.9808699999999998</x:v>
      </x:c>
      <x:c r="AO43" s="16" t="n">
        <x:f>IF(M43="Three Phase",V43/3,IF(N43="B",V43,0))</x:f>
        <x:v>0.3814639985936112</x:v>
      </x:c>
    </x:row>
    <x:row r="44">
      <x:c r="A44" s="13" t="str">
        <x:v>C0043</x:v>
      </x:c>
      <x:c r="B44" s="13" t="str">
        <x:v>DT-3</x:v>
      </x:c>
      <x:c r="C44" s="13" t="str">
        <x:v>Commercial</x:v>
      </x:c>
      <x:c r="D44" s="16" t="n">
        <x:v>9.5</x:v>
      </x:c>
      <x:c r="E44" s="16" t="n">
        <x:v>0.509</x:v>
      </x:c>
      <x:c r="F44" s="16" t="n">
        <x:f>D44*E44</x:f>
        <x:v>4.8355</x:v>
      </x:c>
      <x:c r="G44" s="16" t="n">
        <x:v>0.932</x:v>
      </x:c>
      <x:c r="H44" s="16" t="n">
        <x:f>F44/G44</x:f>
        <x:v>5.188304721030042</x:v>
      </x:c>
      <x:c r="I44" s="16" t="n">
        <x:v>0.64</x:v>
      </x:c>
      <x:c r="J44" s="16" t="n">
        <x:f>F44*I44</x:f>
        <x:v>3.0947199999999997</x:v>
      </x:c>
      <x:c r="K44" s="16" t="n">
        <x:f>J44*TAN(ACOS(G44))</x:f>
        <x:v>1.203548141677919</x:v>
      </x:c>
      <x:c r="L44" s="16" t="n">
        <x:f>SQRT(J44^2+K44^2)</x:f>
        <x:v>3.320515021459227</x:v>
      </x:c>
      <x:c r="M44" s="16" t="str">
        <x:v>Three Phase</x:v>
      </x:c>
      <x:c r="N44" s="16" t="str">
        <x:v>RYB</x:v>
      </x:c>
      <x:c r="O44" s="16" t="str">
        <x:v>Yes</x:v>
      </x:c>
      <x:c r="P44" s="16" t="n">
        <x:v>9</x:v>
      </x:c>
      <x:c r="Q44" s="16" t="n">
        <x:v>0.548</x:v>
      </x:c>
      <x:c r="R44" s="16" t="n">
        <x:v>0.916</x:v>
      </x:c>
      <x:c r="S44" s="16" t="n">
        <x:f>F44*Q44</x:f>
        <x:v>2.649854</x:v>
      </x:c>
      <x:c r="T44" s="16" t="n">
        <x:f>IF(O44="Yes",P44*R44,0)</x:f>
        <x:v>8.244</x:v>
      </x:c>
      <x:c r="U44" s="16" t="n">
        <x:f>S44-T44</x:f>
        <x:v>-5.594146</x:v>
      </x:c>
      <x:c r="V44" s="16" t="n">
        <x:f>S44*TAN(ACOS(G44))</x:f>
        <x:v>1.0305380963117183</x:v>
      </x:c>
      <x:c r="W44" s="16" t="n">
        <x:f>SQRT(U44^2+V44^2)</x:f>
        <x:v>5.6882755064488375</x:v>
      </x:c>
      <x:c r="X44" s="13" t="str">
        <x:v>No</x:v>
      </x:c>
      <x:c r="Y44" s="13" t="str"/>
      <x:c r="Z44" s="18" t="str"/>
      <x:c r="AA44" s="13" t="str"/>
      <x:c r="AB44" s="18" t="str"/>
      <x:c r="AC44" s="13" t="str">
        <x:v>No</x:v>
      </x:c>
      <x:c r="AD44" s="16" t="n">
        <x:f>IF(M44="Three Phase",J44/3,IF(N44="R",J44,0))</x:f>
        <x:v>1.0315733333333332</x:v>
      </x:c>
      <x:c r="AE44" s="16" t="n">
        <x:f>IF(M44="Three Phase",K44/3,IF(N44="R",K44,0))</x:f>
        <x:v>0.40118271389263965</x:v>
      </x:c>
      <x:c r="AF44" s="16" t="n">
        <x:f>IF(M44="Three Phase",J44/3,IF(N44="Y",J44,0))</x:f>
        <x:v>1.0315733333333332</x:v>
      </x:c>
      <x:c r="AG44" s="16" t="n">
        <x:f>IF(M44="Three Phase",K44/3,IF(N44="Y",K44,0))</x:f>
        <x:v>0.40118271389263965</x:v>
      </x:c>
      <x:c r="AH44" s="16" t="n">
        <x:f>IF(M44="Three Phase",J44/3,IF(N44="B",J44,0))</x:f>
        <x:v>1.0315733333333332</x:v>
      </x:c>
      <x:c r="AI44" s="16" t="n">
        <x:f>IF(M44="Three Phase",K44/3,IF(N44="B",K44,0))</x:f>
        <x:v>0.40118271389263965</x:v>
      </x:c>
      <x:c r="AJ44" s="16" t="n">
        <x:f>IF(M44="Three Phase",U44/3,IF(N44="R",U44,0))</x:f>
        <x:v>-1.8647153333333335</x:v>
      </x:c>
      <x:c r="AK44" s="16" t="n">
        <x:f>IF(M44="Three Phase",V44/3,IF(N44="R",V44,0))</x:f>
        <x:v>0.3435126987705728</x:v>
      </x:c>
      <x:c r="AL44" s="16" t="n">
        <x:f>IF(M44="Three Phase",U44/3,IF(N44="Y",U44,0))</x:f>
        <x:v>-1.8647153333333335</x:v>
      </x:c>
      <x:c r="AM44" s="16" t="n">
        <x:f>IF(M44="Three Phase",V44/3,IF(N44="Y",V44,0))</x:f>
        <x:v>0.3435126987705728</x:v>
      </x:c>
      <x:c r="AN44" s="16" t="n">
        <x:f>IF(M44="Three Phase",U44/3,IF(N44="B",U44,0))</x:f>
        <x:v>-1.8647153333333335</x:v>
      </x:c>
      <x:c r="AO44" s="16" t="n">
        <x:f>IF(M44="Three Phase",V44/3,IF(N44="B",V44,0))</x:f>
        <x:v>0.3435126987705728</x:v>
      </x:c>
    </x:row>
    <x:row r="45">
      <x:c r="A45" s="13" t="str">
        <x:v>C0044</x:v>
      </x:c>
      <x:c r="B45" s="13" t="str">
        <x:v>DT-4</x:v>
      </x:c>
      <x:c r="C45" s="13" t="str">
        <x:v>Residential</x:v>
      </x:c>
      <x:c r="D45" s="16" t="n">
        <x:v>6.5</x:v>
      </x:c>
      <x:c r="E45" s="16" t="n">
        <x:v>0.685</x:v>
      </x:c>
      <x:c r="F45" s="16" t="n">
        <x:f>D45*E45</x:f>
        <x:v>4.452500000000001</x:v>
      </x:c>
      <x:c r="G45" s="16" t="n">
        <x:v>0.939</x:v>
      </x:c>
      <x:c r="H45" s="16" t="n">
        <x:f>F45/G45</x:f>
        <x:v>4.741746538871141</x:v>
      </x:c>
      <x:c r="I45" s="16" t="n">
        <x:v>0.954</x:v>
      </x:c>
      <x:c r="J45" s="16" t="n">
        <x:f>F45*I45</x:f>
        <x:v>4.247685000000001</x:v>
      </x:c>
      <x:c r="K45" s="16" t="n">
        <x:f>J45*TAN(ACOS(G45))</x:f>
        <x:v>1.555752589828623</x:v>
      </x:c>
      <x:c r="L45" s="16" t="n">
        <x:f>SQRT(J45^2+K45^2)</x:f>
        <x:v>4.523626198083068</x:v>
      </x:c>
      <x:c r="M45" s="16" t="str">
        <x:v>Three Phase</x:v>
      </x:c>
      <x:c r="N45" s="16" t="str">
        <x:v>RYB</x:v>
      </x:c>
      <x:c r="O45" s="16" t="str">
        <x:v>No</x:v>
      </x:c>
      <x:c r="P45" s="16" t="n">
        <x:v>0</x:v>
      </x:c>
      <x:c r="Q45" s="16" t="n">
        <x:v>0.482</x:v>
      </x:c>
      <x:c r="R45" s="16" t="n">
        <x:v>0</x:v>
      </x:c>
      <x:c r="S45" s="16" t="n">
        <x:f>F45*Q45</x:f>
        <x:v>2.1461050000000004</x:v>
      </x:c>
      <x:c r="T45" s="16" t="n">
        <x:f>IF(O45="Yes",P45*R45,0)</x:f>
        <x:v>0</x:v>
      </x:c>
      <x:c r="U45" s="16" t="n">
        <x:f>S45-T45</x:f>
        <x:v>2.1461050000000004</x:v>
      </x:c>
      <x:c r="V45" s="16" t="n">
        <x:f>S45*TAN(ACOS(G45))</x:f>
        <x:v>0.7860301344836439</x:v>
      </x:c>
      <x:c r="W45" s="16" t="n">
        <x:f>SQRT(U45^2+V45^2)</x:f>
        <x:v>2.28552183173589</x:v>
      </x:c>
      <x:c r="X45" s="13" t="str">
        <x:v>Yes</x:v>
      </x:c>
      <x:c r="Y45" s="13" t="str">
        <x:v>DT-1</x:v>
      </x:c>
      <x:c r="Z45" s="18" t="n">
        <x:v>45</x:v>
      </x:c>
      <x:c r="AA45" s="13" t="str"/>
      <x:c r="AB45" s="18" t="str"/>
      <x:c r="AC45" s="13" t="str">
        <x:v>No</x:v>
      </x:c>
      <x:c r="AD45" s="16" t="n">
        <x:f>IF(M45="Three Phase",J45/3,IF(N45="R",J45,0))</x:f>
        <x:v>1.4158950000000001</x:v>
      </x:c>
      <x:c r="AE45" s="16" t="n">
        <x:f>IF(M45="Three Phase",K45/3,IF(N45="R",K45,0))</x:f>
        <x:v>0.518584196609541</x:v>
      </x:c>
      <x:c r="AF45" s="16" t="n">
        <x:f>IF(M45="Three Phase",J45/3,IF(N45="Y",J45,0))</x:f>
        <x:v>1.4158950000000001</x:v>
      </x:c>
      <x:c r="AG45" s="16" t="n">
        <x:f>IF(M45="Three Phase",K45/3,IF(N45="Y",K45,0))</x:f>
        <x:v>0.518584196609541</x:v>
      </x:c>
      <x:c r="AH45" s="16" t="n">
        <x:f>IF(M45="Three Phase",J45/3,IF(N45="B",J45,0))</x:f>
        <x:v>1.4158950000000001</x:v>
      </x:c>
      <x:c r="AI45" s="16" t="n">
        <x:f>IF(M45="Three Phase",K45/3,IF(N45="B",K45,0))</x:f>
        <x:v>0.518584196609541</x:v>
      </x:c>
      <x:c r="AJ45" s="16" t="n">
        <x:f>IF(M45="Three Phase",U45/3,IF(N45="R",U45,0))</x:f>
        <x:v>0.7153683333333335</x:v>
      </x:c>
      <x:c r="AK45" s="16" t="n">
        <x:f>IF(M45="Three Phase",V45/3,IF(N45="R",V45,0))</x:f>
        <x:v>0.2620100448278813</x:v>
      </x:c>
      <x:c r="AL45" s="16" t="n">
        <x:f>IF(M45="Three Phase",U45/3,IF(N45="Y",U45,0))</x:f>
        <x:v>0.7153683333333335</x:v>
      </x:c>
      <x:c r="AM45" s="16" t="n">
        <x:f>IF(M45="Three Phase",V45/3,IF(N45="Y",V45,0))</x:f>
        <x:v>0.2620100448278813</x:v>
      </x:c>
      <x:c r="AN45" s="16" t="n">
        <x:f>IF(M45="Three Phase",U45/3,IF(N45="B",U45,0))</x:f>
        <x:v>0.7153683333333335</x:v>
      </x:c>
      <x:c r="AO45" s="16" t="n">
        <x:f>IF(M45="Three Phase",V45/3,IF(N45="B",V45,0))</x:f>
        <x:v>0.2620100448278813</x:v>
      </x:c>
    </x:row>
    <x:row r="46">
      <x:c r="A46" s="13" t="str">
        <x:v>C0045</x:v>
      </x:c>
      <x:c r="B46" s="13" t="str">
        <x:v>DT-4</x:v>
      </x:c>
      <x:c r="C46" s="13" t="str">
        <x:v>Residential</x:v>
      </x:c>
      <x:c r="D46" s="16" t="n">
        <x:v>4</x:v>
      </x:c>
      <x:c r="E46" s="16" t="n">
        <x:v>0.712</x:v>
      </x:c>
      <x:c r="F46" s="16" t="n">
        <x:f>D46*E46</x:f>
        <x:v>2.848</x:v>
      </x:c>
      <x:c r="G46" s="16" t="n">
        <x:v>0.974</x:v>
      </x:c>
      <x:c r="H46" s="16" t="n">
        <x:f>F46/G46</x:f>
        <x:v>2.924024640657084</x:v>
      </x:c>
      <x:c r="I46" s="16" t="n">
        <x:v>0.936</x:v>
      </x:c>
      <x:c r="J46" s="16" t="n">
        <x:f>F46*I46</x:f>
        <x:v>2.665728</x:v>
      </x:c>
      <x:c r="K46" s="16" t="n">
        <x:f>J46*TAN(ACOS(G46))</x:f>
        <x:v>0.6200363128222871</x:v>
      </x:c>
      <x:c r="L46" s="16" t="n">
        <x:f>SQRT(J46^2+K46^2)</x:f>
        <x:v>2.736887063655031</x:v>
      </x:c>
      <x:c r="M46" s="16" t="str">
        <x:v>Single Phase</x:v>
      </x:c>
      <x:c r="N46" s="16" t="str">
        <x:v>R</x:v>
      </x:c>
      <x:c r="O46" s="16" t="str">
        <x:v>Yes</x:v>
      </x:c>
      <x:c r="P46" s="16" t="n">
        <x:v>1</x:v>
      </x:c>
      <x:c r="Q46" s="16" t="n">
        <x:v>0.221</x:v>
      </x:c>
      <x:c r="R46" s="16" t="n">
        <x:v>0.794</x:v>
      </x:c>
      <x:c r="S46" s="16" t="n">
        <x:f>F46*Q46</x:f>
        <x:v>0.629408</x:v>
      </x:c>
      <x:c r="T46" s="16" t="n">
        <x:f>IF(O46="Yes",P46*R46,0)</x:f>
        <x:v>0.794</x:v>
      </x:c>
      <x:c r="U46" s="16" t="n">
        <x:f>S46-T46</x:f>
        <x:v>-0.16459200000000007</x:v>
      </x:c>
      <x:c r="V46" s="16" t="n">
        <x:f>S46*TAN(ACOS(G46))</x:f>
        <x:v>0.14639746274970666</x:v>
      </x:c>
      <x:c r="W46" s="16" t="n">
        <x:f>SQRT(U46^2+V46^2)</x:f>
        <x:v>0.22027878600435352</x:v>
      </x:c>
      <x:c r="X46" s="13" t="str">
        <x:v>Yes</x:v>
      </x:c>
      <x:c r="Y46" s="13" t="str">
        <x:v>DT-5</x:v>
      </x:c>
      <x:c r="Z46" s="18" t="n">
        <x:v>79</x:v>
      </x:c>
      <x:c r="AA46" s="13" t="str"/>
      <x:c r="AB46" s="18" t="str"/>
      <x:c r="AC46" s="13" t="str">
        <x:v>Yes</x:v>
      </x:c>
      <x:c r="AD46" s="16" t="n">
        <x:f>IF(M46="Three Phase",J46/3,IF(N46="R",J46,0))</x:f>
        <x:v>2.665728</x:v>
      </x:c>
      <x:c r="AE46" s="16" t="n">
        <x:f>IF(M46="Three Phase",K46/3,IF(N46="R",K46,0))</x:f>
        <x:v>0.6200363128222871</x:v>
      </x:c>
      <x:c r="AF46" s="16" t="n">
        <x:f>IF(M46="Three Phase",J46/3,IF(N46="Y",J46,0))</x:f>
        <x:v>0</x:v>
      </x:c>
      <x:c r="AG46" s="16" t="n">
        <x:f>IF(M46="Three Phase",K46/3,IF(N46="Y",K46,0))</x:f>
        <x:v>0</x:v>
      </x:c>
      <x:c r="AH46" s="16" t="n">
        <x:f>IF(M46="Three Phase",J46/3,IF(N46="B",J46,0))</x:f>
        <x:v>0</x:v>
      </x:c>
      <x:c r="AI46" s="16" t="n">
        <x:f>IF(M46="Three Phase",K46/3,IF(N46="B",K46,0))</x:f>
        <x:v>0</x:v>
      </x:c>
      <x:c r="AJ46" s="16" t="n">
        <x:f>IF(M46="Three Phase",U46/3,IF(N46="R",U46,0))</x:f>
        <x:v>-0.16459200000000007</x:v>
      </x:c>
      <x:c r="AK46" s="16" t="n">
        <x:f>IF(M46="Three Phase",V46/3,IF(N46="R",V46,0))</x:f>
        <x:v>0.14639746274970666</x:v>
      </x:c>
      <x:c r="AL46" s="16" t="n">
        <x:f>IF(M46="Three Phase",U46/3,IF(N46="Y",U46,0))</x:f>
        <x:v>0</x:v>
      </x:c>
      <x:c r="AM46" s="16" t="n">
        <x:f>IF(M46="Three Phase",V46/3,IF(N46="Y",V46,0))</x:f>
        <x:v>0</x:v>
      </x:c>
      <x:c r="AN46" s="16" t="n">
        <x:f>IF(M46="Three Phase",U46/3,IF(N46="B",U46,0))</x:f>
        <x:v>0</x:v>
      </x:c>
      <x:c r="AO46" s="16" t="n">
        <x:f>IF(M46="Three Phase",V46/3,IF(N46="B",V46,0))</x:f>
        <x:v>0</x:v>
      </x:c>
    </x:row>
    <x:row r="47">
      <x:c r="A47" s="13" t="str">
        <x:v>C0046</x:v>
      </x:c>
      <x:c r="B47" s="13" t="str">
        <x:v>DT-4</x:v>
      </x:c>
      <x:c r="C47" s="13" t="str">
        <x:v>Residential</x:v>
      </x:c>
      <x:c r="D47" s="16" t="n">
        <x:v>3.5</x:v>
      </x:c>
      <x:c r="E47" s="16" t="n">
        <x:v>0.674</x:v>
      </x:c>
      <x:c r="F47" s="16" t="n">
        <x:f>D47*E47</x:f>
        <x:v>2.359</x:v>
      </x:c>
      <x:c r="G47" s="16" t="n">
        <x:v>0.932</x:v>
      </x:c>
      <x:c r="H47" s="16" t="n">
        <x:f>F47/G47</x:f>
        <x:v>2.531115879828326</x:v>
      </x:c>
      <x:c r="I47" s="16" t="n">
        <x:v>0.883</x:v>
      </x:c>
      <x:c r="J47" s="16" t="n">
        <x:f>F47*I47</x:f>
        <x:v>2.082997</x:v>
      </x:c>
      <x:c r="K47" s="16" t="n">
        <x:f>J47*TAN(ACOS(G47))</x:f>
        <x:v>0.8100852963986017</x:v>
      </x:c>
      <x:c r="L47" s="16" t="n">
        <x:f>SQRT(J47^2+K47^2)</x:f>
        <x:v>2.234975321888412</x:v>
      </x:c>
      <x:c r="M47" s="16" t="str">
        <x:v>Single Phase</x:v>
      </x:c>
      <x:c r="N47" s="16" t="str">
        <x:v>R</x:v>
      </x:c>
      <x:c r="O47" s="16" t="str">
        <x:v>No</x:v>
      </x:c>
      <x:c r="P47" s="16" t="n">
        <x:v>0</x:v>
      </x:c>
      <x:c r="Q47" s="16" t="n">
        <x:v>0.326</x:v>
      </x:c>
      <x:c r="R47" s="16" t="n">
        <x:v>0</x:v>
      </x:c>
      <x:c r="S47" s="16" t="n">
        <x:f>F47*Q47</x:f>
        <x:v>0.769034</x:v>
      </x:c>
      <x:c r="T47" s="16" t="n">
        <x:f>IF(O47="Yes",P47*R47,0)</x:f>
        <x:v>0</x:v>
      </x:c>
      <x:c r="U47" s="16" t="n">
        <x:f>S47-T47</x:f>
        <x:v>0.769034</x:v>
      </x:c>
      <x:c r="V47" s="16" t="n">
        <x:f>S47*TAN(ACOS(G47))</x:f>
        <x:v>0.2990801887043535</x:v>
      </x:c>
      <x:c r="W47" s="16" t="n">
        <x:f>SQRT(U47^2+V47^2)</x:f>
        <x:v>0.8251437768240343</x:v>
      </x:c>
      <x:c r="X47" s="13" t="str">
        <x:v>No</x:v>
      </x:c>
      <x:c r="Y47" s="13" t="str"/>
      <x:c r="Z47" s="18" t="str"/>
      <x:c r="AA47" s="13" t="str"/>
      <x:c r="AB47" s="18" t="str"/>
      <x:c r="AC47" s="13" t="str">
        <x:v>Yes</x:v>
      </x:c>
      <x:c r="AD47" s="16" t="n">
        <x:f>IF(M47="Three Phase",J47/3,IF(N47="R",J47,0))</x:f>
        <x:v>2.082997</x:v>
      </x:c>
      <x:c r="AE47" s="16" t="n">
        <x:f>IF(M47="Three Phase",K47/3,IF(N47="R",K47,0))</x:f>
        <x:v>0.8100852963986017</x:v>
      </x:c>
      <x:c r="AF47" s="16" t="n">
        <x:f>IF(M47="Three Phase",J47/3,IF(N47="Y",J47,0))</x:f>
        <x:v>0</x:v>
      </x:c>
      <x:c r="AG47" s="16" t="n">
        <x:f>IF(M47="Three Phase",K47/3,IF(N47="Y",K47,0))</x:f>
        <x:v>0</x:v>
      </x:c>
      <x:c r="AH47" s="16" t="n">
        <x:f>IF(M47="Three Phase",J47/3,IF(N47="B",J47,0))</x:f>
        <x:v>0</x:v>
      </x:c>
      <x:c r="AI47" s="16" t="n">
        <x:f>IF(M47="Three Phase",K47/3,IF(N47="B",K47,0))</x:f>
        <x:v>0</x:v>
      </x:c>
      <x:c r="AJ47" s="16" t="n">
        <x:f>IF(M47="Three Phase",U47/3,IF(N47="R",U47,0))</x:f>
        <x:v>0.769034</x:v>
      </x:c>
      <x:c r="AK47" s="16" t="n">
        <x:f>IF(M47="Three Phase",V47/3,IF(N47="R",V47,0))</x:f>
        <x:v>0.2990801887043535</x:v>
      </x:c>
      <x:c r="AL47" s="16" t="n">
        <x:f>IF(M47="Three Phase",U47/3,IF(N47="Y",U47,0))</x:f>
        <x:v>0</x:v>
      </x:c>
      <x:c r="AM47" s="16" t="n">
        <x:f>IF(M47="Three Phase",V47/3,IF(N47="Y",V47,0))</x:f>
        <x:v>0</x:v>
      </x:c>
      <x:c r="AN47" s="16" t="n">
        <x:f>IF(M47="Three Phase",U47/3,IF(N47="B",U47,0))</x:f>
        <x:v>0</x:v>
      </x:c>
      <x:c r="AO47" s="16" t="n">
        <x:f>IF(M47="Three Phase",V47/3,IF(N47="B",V47,0))</x:f>
        <x:v>0</x:v>
      </x:c>
    </x:row>
    <x:row r="48">
      <x:c r="A48" s="13" t="str">
        <x:v>C0047</x:v>
      </x:c>
      <x:c r="B48" s="13" t="str">
        <x:v>DT-4</x:v>
      </x:c>
      <x:c r="C48" s="13" t="str">
        <x:v>Residential</x:v>
      </x:c>
      <x:c r="D48" s="16" t="n">
        <x:v>4.5</x:v>
      </x:c>
      <x:c r="E48" s="16" t="n">
        <x:v>0.527</x:v>
      </x:c>
      <x:c r="F48" s="16" t="n">
        <x:f>D48*E48</x:f>
        <x:v>2.3715</x:v>
      </x:c>
      <x:c r="G48" s="16" t="n">
        <x:v>0.957</x:v>
      </x:c>
      <x:c r="H48" s="16" t="n">
        <x:f>F48/G48</x:f>
        <x:v>2.4780564263322886</x:v>
      </x:c>
      <x:c r="I48" s="16" t="n">
        <x:v>0.965</x:v>
      </x:c>
      <x:c r="J48" s="16" t="n">
        <x:f>F48*I48</x:f>
        <x:v>2.2884975</x:v>
      </x:c>
      <x:c r="K48" s="16" t="n">
        <x:f>J48*TAN(ACOS(G48))</x:f>
        <x:v>0.6936943306732702</x:v>
      </x:c>
      <x:c r="L48" s="16" t="n">
        <x:f>SQRT(J48^2+K48^2)</x:f>
        <x:v>2.3913244514106586</x:v>
      </x:c>
      <x:c r="M48" s="16" t="str">
        <x:v>Single Phase</x:v>
      </x:c>
      <x:c r="N48" s="16" t="str">
        <x:v>R</x:v>
      </x:c>
      <x:c r="O48" s="16" t="str">
        <x:v>No</x:v>
      </x:c>
      <x:c r="P48" s="16" t="n">
        <x:v>0</x:v>
      </x:c>
      <x:c r="Q48" s="16" t="n">
        <x:v>0.277</x:v>
      </x:c>
      <x:c r="R48" s="16" t="n">
        <x:v>0</x:v>
      </x:c>
      <x:c r="S48" s="16" t="n">
        <x:f>F48*Q48</x:f>
        <x:v>0.6569055000000001</x:v>
      </x:c>
      <x:c r="T48" s="16" t="n">
        <x:f>IF(O48="Yes",P48*R48,0)</x:f>
        <x:v>0</x:v>
      </x:c>
      <x:c r="U48" s="16" t="n">
        <x:f>S48-T48</x:f>
        <x:v>0.6569055000000001</x:v>
      </x:c>
      <x:c r="V48" s="16" t="n">
        <x:f>S48*TAN(ACOS(G48))</x:f>
        <x:v>0.19912262134351905</x:v>
      </x:c>
      <x:c r="W48" s="16" t="n">
        <x:f>SQRT(U48^2+V48^2)</x:f>
        <x:v>0.6864216300940441</x:v>
      </x:c>
      <x:c r="X48" s="13" t="str">
        <x:v>No</x:v>
      </x:c>
      <x:c r="Y48" s="13" t="str"/>
      <x:c r="Z48" s="18" t="str"/>
      <x:c r="AA48" s="13" t="str"/>
      <x:c r="AB48" s="18" t="str"/>
      <x:c r="AC48" s="13" t="str">
        <x:v>No</x:v>
      </x:c>
      <x:c r="AD48" s="16" t="n">
        <x:f>IF(M48="Three Phase",J48/3,IF(N48="R",J48,0))</x:f>
        <x:v>2.2884975</x:v>
      </x:c>
      <x:c r="AE48" s="16" t="n">
        <x:f>IF(M48="Three Phase",K48/3,IF(N48="R",K48,0))</x:f>
        <x:v>0.6936943306732702</x:v>
      </x:c>
      <x:c r="AF48" s="16" t="n">
        <x:f>IF(M48="Three Phase",J48/3,IF(N48="Y",J48,0))</x:f>
        <x:v>0</x:v>
      </x:c>
      <x:c r="AG48" s="16" t="n">
        <x:f>IF(M48="Three Phase",K48/3,IF(N48="Y",K48,0))</x:f>
        <x:v>0</x:v>
      </x:c>
      <x:c r="AH48" s="16" t="n">
        <x:f>IF(M48="Three Phase",J48/3,IF(N48="B",J48,0))</x:f>
        <x:v>0</x:v>
      </x:c>
      <x:c r="AI48" s="16" t="n">
        <x:f>IF(M48="Three Phase",K48/3,IF(N48="B",K48,0))</x:f>
        <x:v>0</x:v>
      </x:c>
      <x:c r="AJ48" s="16" t="n">
        <x:f>IF(M48="Three Phase",U48/3,IF(N48="R",U48,0))</x:f>
        <x:v>0.6569055000000001</x:v>
      </x:c>
      <x:c r="AK48" s="16" t="n">
        <x:f>IF(M48="Three Phase",V48/3,IF(N48="R",V48,0))</x:f>
        <x:v>0.19912262134351905</x:v>
      </x:c>
      <x:c r="AL48" s="16" t="n">
        <x:f>IF(M48="Three Phase",U48/3,IF(N48="Y",U48,0))</x:f>
        <x:v>0</x:v>
      </x:c>
      <x:c r="AM48" s="16" t="n">
        <x:f>IF(M48="Three Phase",V48/3,IF(N48="Y",V48,0))</x:f>
        <x:v>0</x:v>
      </x:c>
      <x:c r="AN48" s="16" t="n">
        <x:f>IF(M48="Three Phase",U48/3,IF(N48="B",U48,0))</x:f>
        <x:v>0</x:v>
      </x:c>
      <x:c r="AO48" s="16" t="n">
        <x:f>IF(M48="Three Phase",V48/3,IF(N48="B",V48,0))</x:f>
        <x:v>0</x:v>
      </x:c>
    </x:row>
    <x:row r="49">
      <x:c r="A49" s="13" t="str">
        <x:v>C0048</x:v>
      </x:c>
      <x:c r="B49" s="13" t="str">
        <x:v>DT-4</x:v>
      </x:c>
      <x:c r="C49" s="13" t="str">
        <x:v>Residential</x:v>
      </x:c>
      <x:c r="D49" s="16" t="n">
        <x:v>5</x:v>
      </x:c>
      <x:c r="E49" s="16" t="n">
        <x:v>0.633</x:v>
      </x:c>
      <x:c r="F49" s="16" t="n">
        <x:f>D49*E49</x:f>
        <x:v>3.165</x:v>
      </x:c>
      <x:c r="G49" s="16" t="n">
        <x:v>0.961</x:v>
      </x:c>
      <x:c r="H49" s="16" t="n">
        <x:f>F49/G49</x:f>
        <x:v>3.2934443288241417</x:v>
      </x:c>
      <x:c r="I49" s="16" t="n">
        <x:v>0.848</x:v>
      </x:c>
      <x:c r="J49" s="16" t="n">
        <x:f>F49*I49</x:f>
        <x:v>2.68392</x:v>
      </x:c>
      <x:c r="K49" s="16" t="n">
        <x:f>J49*TAN(ACOS(G49))</x:f>
        <x:v>0.7723555635818514</x:v>
      </x:c>
      <x:c r="L49" s="16" t="n">
        <x:f>SQRT(J49^2+K49^2)</x:f>
        <x:v>2.792840790842872</x:v>
      </x:c>
      <x:c r="M49" s="16" t="str">
        <x:v>Single Phase</x:v>
      </x:c>
      <x:c r="N49" s="16" t="str">
        <x:v>R</x:v>
      </x:c>
      <x:c r="O49" s="16" t="str">
        <x:v>No</x:v>
      </x:c>
      <x:c r="P49" s="16" t="n">
        <x:v>0</x:v>
      </x:c>
      <x:c r="Q49" s="16" t="n">
        <x:v>0.265</x:v>
      </x:c>
      <x:c r="R49" s="16" t="n">
        <x:v>0</x:v>
      </x:c>
      <x:c r="S49" s="16" t="n">
        <x:f>F49*Q49</x:f>
        <x:v>0.838725</x:v>
      </x:c>
      <x:c r="T49" s="16" t="n">
        <x:f>IF(O49="Yes",P49*R49,0)</x:f>
        <x:v>0</x:v>
      </x:c>
      <x:c r="U49" s="16" t="n">
        <x:f>S49-T49</x:f>
        <x:v>0.838725</x:v>
      </x:c>
      <x:c r="V49" s="16" t="n">
        <x:f>S49*TAN(ACOS(G49))</x:f>
        <x:v>0.24136111361932858</x:v>
      </x:c>
      <x:c r="W49" s="16" t="n">
        <x:f>SQRT(U49^2+V49^2)</x:f>
        <x:v>0.8727627471383975</x:v>
      </x:c>
      <x:c r="X49" s="13" t="str">
        <x:v>No</x:v>
      </x:c>
      <x:c r="Y49" s="13" t="str"/>
      <x:c r="Z49" s="18" t="str"/>
      <x:c r="AA49" s="13" t="str"/>
      <x:c r="AB49" s="18" t="str"/>
      <x:c r="AC49" s="13" t="str">
        <x:v>Yes</x:v>
      </x:c>
      <x:c r="AD49" s="16" t="n">
        <x:f>IF(M49="Three Phase",J49/3,IF(N49="R",J49,0))</x:f>
        <x:v>2.68392</x:v>
      </x:c>
      <x:c r="AE49" s="16" t="n">
        <x:f>IF(M49="Three Phase",K49/3,IF(N49="R",K49,0))</x:f>
        <x:v>0.7723555635818514</x:v>
      </x:c>
      <x:c r="AF49" s="16" t="n">
        <x:f>IF(M49="Three Phase",J49/3,IF(N49="Y",J49,0))</x:f>
        <x:v>0</x:v>
      </x:c>
      <x:c r="AG49" s="16" t="n">
        <x:f>IF(M49="Three Phase",K49/3,IF(N49="Y",K49,0))</x:f>
        <x:v>0</x:v>
      </x:c>
      <x:c r="AH49" s="16" t="n">
        <x:f>IF(M49="Three Phase",J49/3,IF(N49="B",J49,0))</x:f>
        <x:v>0</x:v>
      </x:c>
      <x:c r="AI49" s="16" t="n">
        <x:f>IF(M49="Three Phase",K49/3,IF(N49="B",K49,0))</x:f>
        <x:v>0</x:v>
      </x:c>
      <x:c r="AJ49" s="16" t="n">
        <x:f>IF(M49="Three Phase",U49/3,IF(N49="R",U49,0))</x:f>
        <x:v>0.838725</x:v>
      </x:c>
      <x:c r="AK49" s="16" t="n">
        <x:f>IF(M49="Three Phase",V49/3,IF(N49="R",V49,0))</x:f>
        <x:v>0.24136111361932858</x:v>
      </x:c>
      <x:c r="AL49" s="16" t="n">
        <x:f>IF(M49="Three Phase",U49/3,IF(N49="Y",U49,0))</x:f>
        <x:v>0</x:v>
      </x:c>
      <x:c r="AM49" s="16" t="n">
        <x:f>IF(M49="Three Phase",V49/3,IF(N49="Y",V49,0))</x:f>
        <x:v>0</x:v>
      </x:c>
      <x:c r="AN49" s="16" t="n">
        <x:f>IF(M49="Three Phase",U49/3,IF(N49="B",U49,0))</x:f>
        <x:v>0</x:v>
      </x:c>
      <x:c r="AO49" s="16" t="n">
        <x:f>IF(M49="Three Phase",V49/3,IF(N49="B",V49,0))</x:f>
        <x:v>0</x:v>
      </x:c>
    </x:row>
    <x:row r="50">
      <x:c r="A50" s="13" t="str">
        <x:v>C0049</x:v>
      </x:c>
      <x:c r="B50" s="13" t="str">
        <x:v>DT-4</x:v>
      </x:c>
      <x:c r="C50" s="13" t="str">
        <x:v>Residential</x:v>
      </x:c>
      <x:c r="D50" s="16" t="n">
        <x:v>5</x:v>
      </x:c>
      <x:c r="E50" s="16" t="n">
        <x:v>0.667</x:v>
      </x:c>
      <x:c r="F50" s="16" t="n">
        <x:f>D50*E50</x:f>
        <x:v>3.335</x:v>
      </x:c>
      <x:c r="G50" s="16" t="n">
        <x:v>0.947</x:v>
      </x:c>
      <x:c r="H50" s="16" t="n">
        <x:f>F50/G50</x:f>
        <x:v>3.521647307286167</x:v>
      </x:c>
      <x:c r="I50" s="16" t="n">
        <x:v>0.825</x:v>
      </x:c>
      <x:c r="J50" s="16" t="n">
        <x:f>F50*I50</x:f>
        <x:v>2.751375</x:v>
      </x:c>
      <x:c r="K50" s="16" t="n">
        <x:f>J50*TAN(ACOS(G50))</x:f>
        <x:v>0.9332988234889679</x:v>
      </x:c>
      <x:c r="L50" s="16" t="n">
        <x:f>SQRT(J50^2+K50^2)</x:f>
        <x:v>2.9053590285110875</x:v>
      </x:c>
      <x:c r="M50" s="16" t="str">
        <x:v>Single Phase</x:v>
      </x:c>
      <x:c r="N50" s="16" t="str">
        <x:v>R</x:v>
      </x:c>
      <x:c r="O50" s="16" t="str">
        <x:v>No</x:v>
      </x:c>
      <x:c r="P50" s="16" t="n">
        <x:v>0</x:v>
      </x:c>
      <x:c r="Q50" s="16" t="n">
        <x:v>0.494</x:v>
      </x:c>
      <x:c r="R50" s="16" t="n">
        <x:v>0</x:v>
      </x:c>
      <x:c r="S50" s="16" t="n">
        <x:f>F50*Q50</x:f>
        <x:v>1.64749</x:v>
      </x:c>
      <x:c r="T50" s="16" t="n">
        <x:f>IF(O50="Yes",P50*R50,0)</x:f>
        <x:v>0</x:v>
      </x:c>
      <x:c r="U50" s="16" t="n">
        <x:f>S50-T50</x:f>
        <x:v>1.64749</x:v>
      </x:c>
      <x:c r="V50" s="16" t="n">
        <x:f>S50*TAN(ACOS(G50))</x:f>
        <x:v>0.5588480227921819</x:v>
      </x:c>
      <x:c r="W50" s="16" t="n">
        <x:f>SQRT(U50^2+V50^2)</x:f>
        <x:v>1.7396937697993664</x:v>
      </x:c>
      <x:c r="X50" s="13" t="str">
        <x:v>Yes</x:v>
      </x:c>
      <x:c r="Y50" s="13" t="str">
        <x:v>DT-5</x:v>
      </x:c>
      <x:c r="Z50" s="18" t="n">
        <x:v>34</x:v>
      </x:c>
      <x:c r="AA50" s="13" t="str"/>
      <x:c r="AB50" s="18" t="str"/>
      <x:c r="AC50" s="13" t="str">
        <x:v>Yes</x:v>
      </x:c>
      <x:c r="AD50" s="16" t="n">
        <x:f>IF(M50="Three Phase",J50/3,IF(N50="R",J50,0))</x:f>
        <x:v>2.751375</x:v>
      </x:c>
      <x:c r="AE50" s="16" t="n">
        <x:f>IF(M50="Three Phase",K50/3,IF(N50="R",K50,0))</x:f>
        <x:v>0.9332988234889679</x:v>
      </x:c>
      <x:c r="AF50" s="16" t="n">
        <x:f>IF(M50="Three Phase",J50/3,IF(N50="Y",J50,0))</x:f>
        <x:v>0</x:v>
      </x:c>
      <x:c r="AG50" s="16" t="n">
        <x:f>IF(M50="Three Phase",K50/3,IF(N50="Y",K50,0))</x:f>
        <x:v>0</x:v>
      </x:c>
      <x:c r="AH50" s="16" t="n">
        <x:f>IF(M50="Three Phase",J50/3,IF(N50="B",J50,0))</x:f>
        <x:v>0</x:v>
      </x:c>
      <x:c r="AI50" s="16" t="n">
        <x:f>IF(M50="Three Phase",K50/3,IF(N50="B",K50,0))</x:f>
        <x:v>0</x:v>
      </x:c>
      <x:c r="AJ50" s="16" t="n">
        <x:f>IF(M50="Three Phase",U50/3,IF(N50="R",U50,0))</x:f>
        <x:v>1.64749</x:v>
      </x:c>
      <x:c r="AK50" s="16" t="n">
        <x:f>IF(M50="Three Phase",V50/3,IF(N50="R",V50,0))</x:f>
        <x:v>0.5588480227921819</x:v>
      </x:c>
      <x:c r="AL50" s="16" t="n">
        <x:f>IF(M50="Three Phase",U50/3,IF(N50="Y",U50,0))</x:f>
        <x:v>0</x:v>
      </x:c>
      <x:c r="AM50" s="16" t="n">
        <x:f>IF(M50="Three Phase",V50/3,IF(N50="Y",V50,0))</x:f>
        <x:v>0</x:v>
      </x:c>
      <x:c r="AN50" s="16" t="n">
        <x:f>IF(M50="Three Phase",U50/3,IF(N50="B",U50,0))</x:f>
        <x:v>0</x:v>
      </x:c>
      <x:c r="AO50" s="16" t="n">
        <x:f>IF(M50="Three Phase",V50/3,IF(N50="B",V50,0))</x:f>
        <x:v>0</x:v>
      </x:c>
    </x:row>
    <x:row r="51">
      <x:c r="A51" s="13" t="str">
        <x:v>C0050</x:v>
      </x:c>
      <x:c r="B51" s="13" t="str">
        <x:v>DT-4</x:v>
      </x:c>
      <x:c r="C51" s="13" t="str">
        <x:v>Residential</x:v>
      </x:c>
      <x:c r="D51" s="16" t="n">
        <x:v>3.5</x:v>
      </x:c>
      <x:c r="E51" s="16" t="n">
        <x:v>0.47</x:v>
      </x:c>
      <x:c r="F51" s="16" t="n">
        <x:f>D51*E51</x:f>
        <x:v>1.645</x:v>
      </x:c>
      <x:c r="G51" s="16" t="n">
        <x:v>0.956</x:v>
      </x:c>
      <x:c r="H51" s="16" t="n">
        <x:f>F51/G51</x:f>
        <x:v>1.7207112970711298</x:v>
      </x:c>
      <x:c r="I51" s="16" t="n">
        <x:v>0.904</x:v>
      </x:c>
      <x:c r="J51" s="16" t="n">
        <x:f>F51*I51</x:f>
        <x:v>1.48708</x:v>
      </x:c>
      <x:c r="K51" s="16" t="n">
        <x:f>J51*TAN(ACOS(G51))</x:f>
        <x:v>0.4563385981700287</x:v>
      </x:c>
      <x:c r="L51" s="16" t="n">
        <x:f>SQRT(J51^2+K51^2)</x:f>
        <x:v>1.5555230125523012</x:v>
      </x:c>
      <x:c r="M51" s="16" t="str">
        <x:v>Single Phase</x:v>
      </x:c>
      <x:c r="N51" s="16" t="str">
        <x:v>Y</x:v>
      </x:c>
      <x:c r="O51" s="16" t="str">
        <x:v>No</x:v>
      </x:c>
      <x:c r="P51" s="16" t="n">
        <x:v>0</x:v>
      </x:c>
      <x:c r="Q51" s="16" t="n">
        <x:v>0.428</x:v>
      </x:c>
      <x:c r="R51" s="16" t="n">
        <x:v>0</x:v>
      </x:c>
      <x:c r="S51" s="16" t="n">
        <x:f>F51*Q51</x:f>
        <x:v>0.70406</x:v>
      </x:c>
      <x:c r="T51" s="16" t="n">
        <x:f>IF(O51="Yes",P51*R51,0)</x:f>
        <x:v>0</x:v>
      </x:c>
      <x:c r="U51" s="16" t="n">
        <x:f>S51-T51</x:f>
        <x:v>0.70406</x:v>
      </x:c>
      <x:c r="V51" s="16" t="n">
        <x:f>S51*TAN(ACOS(G51))</x:f>
        <x:v>0.2160541150628012</x:v>
      </x:c>
      <x:c r="W51" s="16" t="n">
        <x:f>SQRT(U51^2+V51^2)</x:f>
        <x:v>0.7364644351464436</x:v>
      </x:c>
      <x:c r="X51" s="13" t="str">
        <x:v>No</x:v>
      </x:c>
      <x:c r="Y51" s="13" t="str"/>
      <x:c r="Z51" s="18" t="str"/>
      <x:c r="AA51" s="13" t="str"/>
      <x:c r="AB51" s="18" t="str"/>
      <x:c r="AC51" s="13" t="str">
        <x:v>Yes</x:v>
      </x:c>
      <x:c r="AD51" s="16" t="n">
        <x:f>IF(M51="Three Phase",J51/3,IF(N51="R",J51,0))</x:f>
        <x:v>0</x:v>
      </x:c>
      <x:c r="AE51" s="16" t="n">
        <x:f>IF(M51="Three Phase",K51/3,IF(N51="R",K51,0))</x:f>
        <x:v>0</x:v>
      </x:c>
      <x:c r="AF51" s="16" t="n">
        <x:f>IF(M51="Three Phase",J51/3,IF(N51="Y",J51,0))</x:f>
        <x:v>1.48708</x:v>
      </x:c>
      <x:c r="AG51" s="16" t="n">
        <x:f>IF(M51="Three Phase",K51/3,IF(N51="Y",K51,0))</x:f>
        <x:v>0.4563385981700287</x:v>
      </x:c>
      <x:c r="AH51" s="16" t="n">
        <x:f>IF(M51="Three Phase",J51/3,IF(N51="B",J51,0))</x:f>
        <x:v>0</x:v>
      </x:c>
      <x:c r="AI51" s="16" t="n">
        <x:f>IF(M51="Three Phase",K51/3,IF(N51="B",K51,0))</x:f>
        <x:v>0</x:v>
      </x:c>
      <x:c r="AJ51" s="16" t="n">
        <x:f>IF(M51="Three Phase",U51/3,IF(N51="R",U51,0))</x:f>
        <x:v>0</x:v>
      </x:c>
      <x:c r="AK51" s="16" t="n">
        <x:f>IF(M51="Three Phase",V51/3,IF(N51="R",V51,0))</x:f>
        <x:v>0</x:v>
      </x:c>
      <x:c r="AL51" s="16" t="n">
        <x:f>IF(M51="Three Phase",U51/3,IF(N51="Y",U51,0))</x:f>
        <x:v>0.70406</x:v>
      </x:c>
      <x:c r="AM51" s="16" t="n">
        <x:f>IF(M51="Three Phase",V51/3,IF(N51="Y",V51,0))</x:f>
        <x:v>0.2160541150628012</x:v>
      </x:c>
      <x:c r="AN51" s="16" t="n">
        <x:f>IF(M51="Three Phase",U51/3,IF(N51="B",U51,0))</x:f>
        <x:v>0</x:v>
      </x:c>
      <x:c r="AO51" s="16" t="n">
        <x:f>IF(M51="Three Phase",V51/3,IF(N51="B",V51,0))</x:f>
        <x:v>0</x:v>
      </x:c>
    </x:row>
    <x:row r="52">
      <x:c r="A52" s="13" t="str">
        <x:v>C0051</x:v>
      </x:c>
      <x:c r="B52" s="13" t="str">
        <x:v>DT-4</x:v>
      </x:c>
      <x:c r="C52" s="13" t="str">
        <x:v>Industrial</x:v>
      </x:c>
      <x:c r="D52" s="16" t="n">
        <x:v>23</x:v>
      </x:c>
      <x:c r="E52" s="16" t="n">
        <x:v>0.694</x:v>
      </x:c>
      <x:c r="F52" s="16" t="n">
        <x:f>D52*E52</x:f>
        <x:v>15.962</x:v>
      </x:c>
      <x:c r="G52" s="16" t="n">
        <x:v>0.988</x:v>
      </x:c>
      <x:c r="H52" s="16" t="n">
        <x:f>F52/G52</x:f>
        <x:v>16.155870445344128</x:v>
      </x:c>
      <x:c r="I52" s="16" t="n">
        <x:v>0.836</x:v>
      </x:c>
      <x:c r="J52" s="16" t="n">
        <x:f>F52*I52</x:f>
        <x:v>13.344232</x:v>
      </x:c>
      <x:c r="K52" s="16" t="n">
        <x:f>J52*TAN(ACOS(G52))</x:f>
        <x:v>2.086101581770635</x:v>
      </x:c>
      <x:c r="L52" s="16" t="n">
        <x:f>SQRT(J52^2+K52^2)</x:f>
        <x:v>13.506307692307692</x:v>
      </x:c>
      <x:c r="M52" s="16" t="str">
        <x:v>Three Phase</x:v>
      </x:c>
      <x:c r="N52" s="16" t="str">
        <x:v>RYB</x:v>
      </x:c>
      <x:c r="O52" s="16" t="str">
        <x:v>No</x:v>
      </x:c>
      <x:c r="P52" s="16" t="n">
        <x:v>0</x:v>
      </x:c>
      <x:c r="Q52" s="16" t="n">
        <x:v>0.868</x:v>
      </x:c>
      <x:c r="R52" s="16" t="n">
        <x:v>0</x:v>
      </x:c>
      <x:c r="S52" s="16" t="n">
        <x:f>F52*Q52</x:f>
        <x:v>13.855015999999999</x:v>
      </x:c>
      <x:c r="T52" s="16" t="n">
        <x:f>IF(O52="Yes",P52*R52,0)</x:f>
        <x:v>0</x:v>
      </x:c>
      <x:c r="U52" s="16" t="n">
        <x:f>S52-T52</x:f>
        <x:v>13.855015999999999</x:v>
      </x:c>
      <x:c r="V52" s="16" t="n">
        <x:f>S52*TAN(ACOS(G52))</x:f>
        <x:v>2.1659523600202286</x:v>
      </x:c>
      <x:c r="W52" s="16" t="n">
        <x:f>SQRT(U52^2+V52^2)</x:f>
        <x:v>14.023295546558703</x:v>
      </x:c>
      <x:c r="X52" s="13" t="str">
        <x:v>No</x:v>
      </x:c>
      <x:c r="Y52" s="13" t="str"/>
      <x:c r="Z52" s="18" t="str"/>
      <x:c r="AA52" s="13" t="str"/>
      <x:c r="AB52" s="18" t="str"/>
      <x:c r="AC52" s="13" t="str">
        <x:v>No</x:v>
      </x:c>
      <x:c r="AD52" s="16" t="n">
        <x:f>IF(M52="Three Phase",J52/3,IF(N52="R",J52,0))</x:f>
        <x:v>4.448077333333333</x:v>
      </x:c>
      <x:c r="AE52" s="16" t="n">
        <x:f>IF(M52="Three Phase",K52/3,IF(N52="R",K52,0))</x:f>
        <x:v>0.695367193923545</x:v>
      </x:c>
      <x:c r="AF52" s="16" t="n">
        <x:f>IF(M52="Three Phase",J52/3,IF(N52="Y",J52,0))</x:f>
        <x:v>4.448077333333333</x:v>
      </x:c>
      <x:c r="AG52" s="16" t="n">
        <x:f>IF(M52="Three Phase",K52/3,IF(N52="Y",K52,0))</x:f>
        <x:v>0.695367193923545</x:v>
      </x:c>
      <x:c r="AH52" s="16" t="n">
        <x:f>IF(M52="Three Phase",J52/3,IF(N52="B",J52,0))</x:f>
        <x:v>4.448077333333333</x:v>
      </x:c>
      <x:c r="AI52" s="16" t="n">
        <x:f>IF(M52="Three Phase",K52/3,IF(N52="B",K52,0))</x:f>
        <x:v>0.695367193923545</x:v>
      </x:c>
      <x:c r="AJ52" s="16" t="n">
        <x:f>IF(M52="Three Phase",U52/3,IF(N52="R",U52,0))</x:f>
        <x:v>4.618338666666666</x:v>
      </x:c>
      <x:c r="AK52" s="16" t="n">
        <x:f>IF(M52="Three Phase",V52/3,IF(N52="R",V52,0))</x:f>
        <x:v>0.7219841200067428</x:v>
      </x:c>
      <x:c r="AL52" s="16" t="n">
        <x:f>IF(M52="Three Phase",U52/3,IF(N52="Y",U52,0))</x:f>
        <x:v>4.618338666666666</x:v>
      </x:c>
      <x:c r="AM52" s="16" t="n">
        <x:f>IF(M52="Three Phase",V52/3,IF(N52="Y",V52,0))</x:f>
        <x:v>0.7219841200067428</x:v>
      </x:c>
      <x:c r="AN52" s="16" t="n">
        <x:f>IF(M52="Three Phase",U52/3,IF(N52="B",U52,0))</x:f>
        <x:v>4.618338666666666</x:v>
      </x:c>
      <x:c r="AO52" s="16" t="n">
        <x:f>IF(M52="Three Phase",V52/3,IF(N52="B",V52,0))</x:f>
        <x:v>0.7219841200067428</x:v>
      </x:c>
    </x:row>
    <x:row r="53">
      <x:c r="A53" s="13" t="str">
        <x:v>C0052</x:v>
      </x:c>
      <x:c r="B53" s="13" t="str">
        <x:v>DT-4</x:v>
      </x:c>
      <x:c r="C53" s="13" t="str">
        <x:v>Residential</x:v>
      </x:c>
      <x:c r="D53" s="16" t="n">
        <x:v>7</x:v>
      </x:c>
      <x:c r="E53" s="16" t="n">
        <x:v>0.607</x:v>
      </x:c>
      <x:c r="F53" s="16" t="n">
        <x:f>D53*E53</x:f>
        <x:v>4.249</x:v>
      </x:c>
      <x:c r="G53" s="16" t="n">
        <x:v>0.987</x:v>
      </x:c>
      <x:c r="H53" s="16" t="n">
        <x:f>F53/G53</x:f>
        <x:v>4.304964539007092</x:v>
      </x:c>
      <x:c r="I53" s="16" t="n">
        <x:v>0.817</x:v>
      </x:c>
      <x:c r="J53" s="16" t="n">
        <x:f>F53*I53</x:f>
        <x:v>3.4714329999999993</x:v>
      </x:c>
      <x:c r="K53" s="16" t="n">
        <x:f>J53*TAN(ACOS(G53))</x:f>
        <x:v>0.5652782097356587</x:v>
      </x:c>
      <x:c r="L53" s="16" t="n">
        <x:f>SQRT(J53^2+K53^2)</x:f>
        <x:v>3.517156028368794</x:v>
      </x:c>
      <x:c r="M53" s="16" t="str">
        <x:v>Three Phase</x:v>
      </x:c>
      <x:c r="N53" s="16" t="str">
        <x:v>RYB</x:v>
      </x:c>
      <x:c r="O53" s="16" t="str">
        <x:v>No</x:v>
      </x:c>
      <x:c r="P53" s="16" t="n">
        <x:v>0</x:v>
      </x:c>
      <x:c r="Q53" s="16" t="n">
        <x:v>0.321</x:v>
      </x:c>
      <x:c r="R53" s="16" t="n">
        <x:v>0</x:v>
      </x:c>
      <x:c r="S53" s="16" t="n">
        <x:f>F53*Q53</x:f>
        <x:v>1.363929</x:v>
      </x:c>
      <x:c r="T53" s="16" t="n">
        <x:f>IF(O53="Yes",P53*R53,0)</x:f>
        <x:v>0</x:v>
      </x:c>
      <x:c r="U53" s="16" t="n">
        <x:f>S53-T53</x:f>
        <x:v>1.363929</x:v>
      </x:c>
      <x:c r="V53" s="16" t="n">
        <x:f>S53*TAN(ACOS(G53))</x:f>
        <x:v>0.22209829293163583</x:v>
      </x:c>
      <x:c r="W53" s="16" t="n">
        <x:f>SQRT(U53^2+V53^2)</x:f>
        <x:v>1.3818936170212766</x:v>
      </x:c>
      <x:c r="X53" s="13" t="str">
        <x:v>No</x:v>
      </x:c>
      <x:c r="Y53" s="13" t="str"/>
      <x:c r="Z53" s="18" t="str"/>
      <x:c r="AA53" s="13" t="str"/>
      <x:c r="AB53" s="18" t="str"/>
      <x:c r="AC53" s="13" t="str">
        <x:v>No</x:v>
      </x:c>
      <x:c r="AD53" s="16" t="n">
        <x:f>IF(M53="Three Phase",J53/3,IF(N53="R",J53,0))</x:f>
        <x:v>1.157144333333333</x:v>
      </x:c>
      <x:c r="AE53" s="16" t="n">
        <x:f>IF(M53="Three Phase",K53/3,IF(N53="R",K53,0))</x:f>
        <x:v>0.18842606991188623</x:v>
      </x:c>
      <x:c r="AF53" s="16" t="n">
        <x:f>IF(M53="Three Phase",J53/3,IF(N53="Y",J53,0))</x:f>
        <x:v>1.157144333333333</x:v>
      </x:c>
      <x:c r="AG53" s="16" t="n">
        <x:f>IF(M53="Three Phase",K53/3,IF(N53="Y",K53,0))</x:f>
        <x:v>0.18842606991188623</x:v>
      </x:c>
      <x:c r="AH53" s="16" t="n">
        <x:f>IF(M53="Three Phase",J53/3,IF(N53="B",J53,0))</x:f>
        <x:v>1.157144333333333</x:v>
      </x:c>
      <x:c r="AI53" s="16" t="n">
        <x:f>IF(M53="Three Phase",K53/3,IF(N53="B",K53,0))</x:f>
        <x:v>0.18842606991188623</x:v>
      </x:c>
      <x:c r="AJ53" s="16" t="n">
        <x:f>IF(M53="Three Phase",U53/3,IF(N53="R",U53,0))</x:f>
        <x:v>0.45464299999999996</x:v>
      </x:c>
      <x:c r="AK53" s="16" t="n">
        <x:f>IF(M53="Three Phase",V53/3,IF(N53="R",V53,0))</x:f>
        <x:v>0.07403276431054527</x:v>
      </x:c>
      <x:c r="AL53" s="16" t="n">
        <x:f>IF(M53="Three Phase",U53/3,IF(N53="Y",U53,0))</x:f>
        <x:v>0.45464299999999996</x:v>
      </x:c>
      <x:c r="AM53" s="16" t="n">
        <x:f>IF(M53="Three Phase",V53/3,IF(N53="Y",V53,0))</x:f>
        <x:v>0.07403276431054527</x:v>
      </x:c>
      <x:c r="AN53" s="16" t="n">
        <x:f>IF(M53="Three Phase",U53/3,IF(N53="B",U53,0))</x:f>
        <x:v>0.45464299999999996</x:v>
      </x:c>
      <x:c r="AO53" s="16" t="n">
        <x:f>IF(M53="Three Phase",V53/3,IF(N53="B",V53,0))</x:f>
        <x:v>0.07403276431054527</x:v>
      </x:c>
    </x:row>
    <x:row r="54">
      <x:c r="A54" s="13" t="str">
        <x:v>C0053</x:v>
      </x:c>
      <x:c r="B54" s="13" t="str">
        <x:v>DT-4</x:v>
      </x:c>
      <x:c r="C54" s="13" t="str">
        <x:v>Commercial</x:v>
      </x:c>
      <x:c r="D54" s="16" t="n">
        <x:v>14</x:v>
      </x:c>
      <x:c r="E54" s="16" t="n">
        <x:v>0.607</x:v>
      </x:c>
      <x:c r="F54" s="16" t="n">
        <x:f>D54*E54</x:f>
        <x:v>8.498</x:v>
      </x:c>
      <x:c r="G54" s="16" t="n">
        <x:v>0.973</x:v>
      </x:c>
      <x:c r="H54" s="16" t="n">
        <x:f>F54/G54</x:f>
        <x:v>8.733812949640287</x:v>
      </x:c>
      <x:c r="I54" s="16" t="n">
        <x:v>0.754</x:v>
      </x:c>
      <x:c r="J54" s="16" t="n">
        <x:f>F54*I54</x:f>
        <x:v>6.4074919999999995</x:v>
      </x:c>
      <x:c r="K54" s="16" t="n">
        <x:f>J54*TAN(ACOS(G54))</x:f>
        <x:v>1.5199197456440825</x:v>
      </x:c>
      <x:c r="L54" s="16" t="n">
        <x:f>SQRT(J54^2+K54^2)</x:f>
        <x:v>6.585294964028777</x:v>
      </x:c>
      <x:c r="M54" s="16" t="str">
        <x:v>Three Phase</x:v>
      </x:c>
      <x:c r="N54" s="16" t="str">
        <x:v>RYB</x:v>
      </x:c>
      <x:c r="O54" s="16" t="str">
        <x:v>Yes</x:v>
      </x:c>
      <x:c r="P54" s="16" t="n">
        <x:v>3</x:v>
      </x:c>
      <x:c r="Q54" s="16" t="n">
        <x:v>0.795</x:v>
      </x:c>
      <x:c r="R54" s="16" t="n">
        <x:v>0.812</x:v>
      </x:c>
      <x:c r="S54" s="16" t="n">
        <x:f>F54*Q54</x:f>
        <x:v>6.75591</x:v>
      </x:c>
      <x:c r="T54" s="16" t="n">
        <x:f>IF(O54="Yes",P54*R54,0)</x:f>
        <x:v>2.436</x:v>
      </x:c>
      <x:c r="U54" s="16" t="n">
        <x:f>S54-T54</x:f>
        <x:v>4.31991</x:v>
      </x:c>
      <x:c r="V54" s="16" t="n">
        <x:f>S54*TAN(ACOS(G54))</x:f>
        <x:v>1.6025679015743313</x:v>
      </x:c>
      <x:c r="W54" s="16" t="n">
        <x:f>SQRT(U54^2+V54^2)</x:f>
        <x:v>4.607585733033772</x:v>
      </x:c>
      <x:c r="X54" s="13" t="str">
        <x:v>No</x:v>
      </x:c>
      <x:c r="Y54" s="13" t="str"/>
      <x:c r="Z54" s="18" t="str"/>
      <x:c r="AA54" s="13" t="str"/>
      <x:c r="AB54" s="18" t="str"/>
      <x:c r="AC54" s="13" t="str">
        <x:v>No</x:v>
      </x:c>
      <x:c r="AD54" s="16" t="n">
        <x:f>IF(M54="Three Phase",J54/3,IF(N54="R",J54,0))</x:f>
        <x:v>2.1358306666666667</x:v>
      </x:c>
      <x:c r="AE54" s="16" t="n">
        <x:f>IF(M54="Three Phase",K54/3,IF(N54="R",K54,0))</x:f>
        <x:v>0.5066399152146942</x:v>
      </x:c>
      <x:c r="AF54" s="16" t="n">
        <x:f>IF(M54="Three Phase",J54/3,IF(N54="Y",J54,0))</x:f>
        <x:v>2.1358306666666667</x:v>
      </x:c>
      <x:c r="AG54" s="16" t="n">
        <x:f>IF(M54="Three Phase",K54/3,IF(N54="Y",K54,0))</x:f>
        <x:v>0.5066399152146942</x:v>
      </x:c>
      <x:c r="AH54" s="16" t="n">
        <x:f>IF(M54="Three Phase",J54/3,IF(N54="B",J54,0))</x:f>
        <x:v>2.1358306666666667</x:v>
      </x:c>
      <x:c r="AI54" s="16" t="n">
        <x:f>IF(M54="Three Phase",K54/3,IF(N54="B",K54,0))</x:f>
        <x:v>0.5066399152146942</x:v>
      </x:c>
      <x:c r="AJ54" s="16" t="n">
        <x:f>IF(M54="Three Phase",U54/3,IF(N54="R",U54,0))</x:f>
        <x:v>1.43997</x:v>
      </x:c>
      <x:c r="AK54" s="16" t="n">
        <x:f>IF(M54="Three Phase",V54/3,IF(N54="R",V54,0))</x:f>
        <x:v>0.5341893005247771</x:v>
      </x:c>
      <x:c r="AL54" s="16" t="n">
        <x:f>IF(M54="Three Phase",U54/3,IF(N54="Y",U54,0))</x:f>
        <x:v>1.43997</x:v>
      </x:c>
      <x:c r="AM54" s="16" t="n">
        <x:f>IF(M54="Three Phase",V54/3,IF(N54="Y",V54,0))</x:f>
        <x:v>0.5341893005247771</x:v>
      </x:c>
      <x:c r="AN54" s="16" t="n">
        <x:f>IF(M54="Three Phase",U54/3,IF(N54="B",U54,0))</x:f>
        <x:v>1.43997</x:v>
      </x:c>
      <x:c r="AO54" s="16" t="n">
        <x:f>IF(M54="Three Phase",V54/3,IF(N54="B",V54,0))</x:f>
        <x:v>0.5341893005247771</x:v>
      </x:c>
    </x:row>
    <x:row r="55">
      <x:c r="A55" s="13" t="str">
        <x:v>C0054</x:v>
      </x:c>
      <x:c r="B55" s="13" t="str">
        <x:v>DT-4</x:v>
      </x:c>
      <x:c r="C55" s="13" t="str">
        <x:v>Residential</x:v>
      </x:c>
      <x:c r="D55" s="16" t="n">
        <x:v>4</x:v>
      </x:c>
      <x:c r="E55" s="16" t="n">
        <x:v>0.759</x:v>
      </x:c>
      <x:c r="F55" s="16" t="n">
        <x:f>D55*E55</x:f>
        <x:v>3.036</x:v>
      </x:c>
      <x:c r="G55" s="16" t="n">
        <x:v>0.953</x:v>
      </x:c>
      <x:c r="H55" s="16" t="n">
        <x:f>F55/G55</x:f>
        <x:v>3.185729275970619</x:v>
      </x:c>
      <x:c r="I55" s="16" t="n">
        <x:v>0.944</x:v>
      </x:c>
      <x:c r="J55" s="16" t="n">
        <x:f>F55*I55</x:f>
        <x:v>2.865984</x:v>
      </x:c>
      <x:c r="K55" s="16" t="n">
        <x:f>J55*TAN(ACOS(G55))</x:f>
        <x:v>0.911131185298451</x:v>
      </x:c>
      <x:c r="L55" s="16" t="n">
        <x:f>SQRT(J55^2+K55^2)</x:f>
        <x:v>3.0073284365162647</x:v>
      </x:c>
      <x:c r="M55" s="16" t="str">
        <x:v>Single Phase</x:v>
      </x:c>
      <x:c r="N55" s="16" t="str">
        <x:v>Y</x:v>
      </x:c>
      <x:c r="O55" s="16" t="str">
        <x:v>No</x:v>
      </x:c>
      <x:c r="P55" s="16" t="n">
        <x:v>0</x:v>
      </x:c>
      <x:c r="Q55" s="16" t="n">
        <x:v>0.352</x:v>
      </x:c>
      <x:c r="R55" s="16" t="n">
        <x:v>0</x:v>
      </x:c>
      <x:c r="S55" s="16" t="n">
        <x:f>F55*Q55</x:f>
        <x:v>1.0686719999999998</x:v>
      </x:c>
      <x:c r="T55" s="16" t="n">
        <x:f>IF(O55="Yes",P55*R55,0)</x:f>
        <x:v>0</x:v>
      </x:c>
      <x:c r="U55" s="16" t="n">
        <x:f>S55-T55</x:f>
        <x:v>1.0686719999999998</x:v>
      </x:c>
      <x:c r="V55" s="16" t="n">
        <x:f>S55*TAN(ACOS(G55))</x:f>
        <x:v>0.33974383180620205</x:v>
      </x:c>
      <x:c r="W55" s="16" t="n">
        <x:f>SQRT(U55^2+V55^2)</x:f>
        <x:v>1.1213767051416579</x:v>
      </x:c>
      <x:c r="X55" s="13" t="str">
        <x:v>Yes</x:v>
      </x:c>
      <x:c r="Y55" s="13" t="str">
        <x:v>DT-5</x:v>
      </x:c>
      <x:c r="Z55" s="18" t="n">
        <x:v>129</x:v>
      </x:c>
      <x:c r="AA55" s="13" t="str"/>
      <x:c r="AB55" s="18" t="str"/>
      <x:c r="AC55" s="13" t="str">
        <x:v>Yes</x:v>
      </x:c>
      <x:c r="AD55" s="16" t="n">
        <x:f>IF(M55="Three Phase",J55/3,IF(N55="R",J55,0))</x:f>
        <x:v>0</x:v>
      </x:c>
      <x:c r="AE55" s="16" t="n">
        <x:f>IF(M55="Three Phase",K55/3,IF(N55="R",K55,0))</x:f>
        <x:v>0</x:v>
      </x:c>
      <x:c r="AF55" s="16" t="n">
        <x:f>IF(M55="Three Phase",J55/3,IF(N55="Y",J55,0))</x:f>
        <x:v>2.865984</x:v>
      </x:c>
      <x:c r="AG55" s="16" t="n">
        <x:f>IF(M55="Three Phase",K55/3,IF(N55="Y",K55,0))</x:f>
        <x:v>0.911131185298451</x:v>
      </x:c>
      <x:c r="AH55" s="16" t="n">
        <x:f>IF(M55="Three Phase",J55/3,IF(N55="B",J55,0))</x:f>
        <x:v>0</x:v>
      </x:c>
      <x:c r="AI55" s="16" t="n">
        <x:f>IF(M55="Three Phase",K55/3,IF(N55="B",K55,0))</x:f>
        <x:v>0</x:v>
      </x:c>
      <x:c r="AJ55" s="16" t="n">
        <x:f>IF(M55="Three Phase",U55/3,IF(N55="R",U55,0))</x:f>
        <x:v>0</x:v>
      </x:c>
      <x:c r="AK55" s="16" t="n">
        <x:f>IF(M55="Three Phase",V55/3,IF(N55="R",V55,0))</x:f>
        <x:v>0</x:v>
      </x:c>
      <x:c r="AL55" s="16" t="n">
        <x:f>IF(M55="Three Phase",U55/3,IF(N55="Y",U55,0))</x:f>
        <x:v>1.0686719999999998</x:v>
      </x:c>
      <x:c r="AM55" s="16" t="n">
        <x:f>IF(M55="Three Phase",V55/3,IF(N55="Y",V55,0))</x:f>
        <x:v>0.33974383180620205</x:v>
      </x:c>
      <x:c r="AN55" s="16" t="n">
        <x:f>IF(M55="Three Phase",U55/3,IF(N55="B",U55,0))</x:f>
        <x:v>0</x:v>
      </x:c>
      <x:c r="AO55" s="16" t="n">
        <x:f>IF(M55="Three Phase",V55/3,IF(N55="B",V55,0))</x:f>
        <x:v>0</x:v>
      </x:c>
    </x:row>
    <x:row r="56">
      <x:c r="A56" s="13" t="str">
        <x:v>C0055</x:v>
      </x:c>
      <x:c r="B56" s="13" t="str">
        <x:v>DT-4</x:v>
      </x:c>
      <x:c r="C56" s="13" t="str">
        <x:v>Commercial</x:v>
      </x:c>
      <x:c r="D56" s="16" t="n">
        <x:v>15</x:v>
      </x:c>
      <x:c r="E56" s="16" t="n">
        <x:v>0.726</x:v>
      </x:c>
      <x:c r="F56" s="16" t="n">
        <x:f>D56*E56</x:f>
        <x:v>10.89</x:v>
      </x:c>
      <x:c r="G56" s="16" t="n">
        <x:v>0.907</x:v>
      </x:c>
      <x:c r="H56" s="16" t="n">
        <x:f>F56/G56</x:f>
        <x:v>12.006615214994488</x:v>
      </x:c>
      <x:c r="I56" s="16" t="n">
        <x:v>0.703</x:v>
      </x:c>
      <x:c r="J56" s="16" t="n">
        <x:f>F56*I56</x:f>
        <x:v>7.65567</x:v>
      </x:c>
      <x:c r="K56" s="16" t="n">
        <x:f>J56*TAN(ACOS(G56))</x:f>
        <x:v>3.5546163856466158</x:v>
      </x:c>
      <x:c r="L56" s="16" t="n">
        <x:f>SQRT(J56^2+K56^2)</x:f>
        <x:v>8.440650496141124</x:v>
      </x:c>
      <x:c r="M56" s="16" t="str">
        <x:v>Three Phase</x:v>
      </x:c>
      <x:c r="N56" s="16" t="str">
        <x:v>RYB</x:v>
      </x:c>
      <x:c r="O56" s="16" t="str">
        <x:v>No</x:v>
      </x:c>
      <x:c r="P56" s="16" t="n">
        <x:v>0</x:v>
      </x:c>
      <x:c r="Q56" s="16" t="n">
        <x:v>0.632</x:v>
      </x:c>
      <x:c r="R56" s="16" t="n">
        <x:v>0</x:v>
      </x:c>
      <x:c r="S56" s="16" t="n">
        <x:f>F56*Q56</x:f>
        <x:v>6.88248</x:v>
      </x:c>
      <x:c r="T56" s="16" t="n">
        <x:f>IF(O56="Yes",P56*R56,0)</x:f>
        <x:v>0</x:v>
      </x:c>
      <x:c r="U56" s="16" t="n">
        <x:f>S56-T56</x:f>
        <x:v>6.88248</x:v>
      </x:c>
      <x:c r="V56" s="16" t="n">
        <x:f>S56*TAN(ACOS(G56))</x:f>
        <x:v>3.195615299756275</x:v>
      </x:c>
      <x:c r="W56" s="16" t="n">
        <x:f>SQRT(U56^2+V56^2)</x:f>
        <x:v>7.588180815876516</x:v>
      </x:c>
      <x:c r="X56" s="13" t="str">
        <x:v>No</x:v>
      </x:c>
      <x:c r="Y56" s="13" t="str"/>
      <x:c r="Z56" s="18" t="str"/>
      <x:c r="AA56" s="13" t="str"/>
      <x:c r="AB56" s="18" t="str"/>
      <x:c r="AC56" s="13" t="str">
        <x:v>No</x:v>
      </x:c>
      <x:c r="AD56" s="16" t="n">
        <x:f>IF(M56="Three Phase",J56/3,IF(N56="R",J56,0))</x:f>
        <x:v>2.5518899999999998</x:v>
      </x:c>
      <x:c r="AE56" s="16" t="n">
        <x:f>IF(M56="Three Phase",K56/3,IF(N56="R",K56,0))</x:f>
        <x:v>1.184872128548872</x:v>
      </x:c>
      <x:c r="AF56" s="16" t="n">
        <x:f>IF(M56="Three Phase",J56/3,IF(N56="Y",J56,0))</x:f>
        <x:v>2.5518899999999998</x:v>
      </x:c>
      <x:c r="AG56" s="16" t="n">
        <x:f>IF(M56="Three Phase",K56/3,IF(N56="Y",K56,0))</x:f>
        <x:v>1.184872128548872</x:v>
      </x:c>
      <x:c r="AH56" s="16" t="n">
        <x:f>IF(M56="Three Phase",J56/3,IF(N56="B",J56,0))</x:f>
        <x:v>2.5518899999999998</x:v>
      </x:c>
      <x:c r="AI56" s="16" t="n">
        <x:f>IF(M56="Three Phase",K56/3,IF(N56="B",K56,0))</x:f>
        <x:v>1.184872128548872</x:v>
      </x:c>
      <x:c r="AJ56" s="16" t="n">
        <x:f>IF(M56="Three Phase",U56/3,IF(N56="R",U56,0))</x:f>
        <x:v>2.29416</x:v>
      </x:c>
      <x:c r="AK56" s="16" t="n">
        <x:f>IF(M56="Three Phase",V56/3,IF(N56="R",V56,0))</x:f>
        <x:v>1.0652050999187583</x:v>
      </x:c>
      <x:c r="AL56" s="16" t="n">
        <x:f>IF(M56="Three Phase",U56/3,IF(N56="Y",U56,0))</x:f>
        <x:v>2.29416</x:v>
      </x:c>
      <x:c r="AM56" s="16" t="n">
        <x:f>IF(M56="Three Phase",V56/3,IF(N56="Y",V56,0))</x:f>
        <x:v>1.0652050999187583</x:v>
      </x:c>
      <x:c r="AN56" s="16" t="n">
        <x:f>IF(M56="Three Phase",U56/3,IF(N56="B",U56,0))</x:f>
        <x:v>2.29416</x:v>
      </x:c>
      <x:c r="AO56" s="16" t="n">
        <x:f>IF(M56="Three Phase",V56/3,IF(N56="B",V56,0))</x:f>
        <x:v>1.0652050999187583</x:v>
      </x:c>
    </x:row>
    <x:row r="57">
      <x:c r="A57" s="13" t="str">
        <x:v>C0056</x:v>
      </x:c>
      <x:c r="B57" s="13" t="str">
        <x:v>DT-4</x:v>
      </x:c>
      <x:c r="C57" s="13" t="str">
        <x:v>Commercial</x:v>
      </x:c>
      <x:c r="D57" s="16" t="n">
        <x:v>8.5</x:v>
      </x:c>
      <x:c r="E57" s="16" t="n">
        <x:v>0.69</x:v>
      </x:c>
      <x:c r="F57" s="16" t="n">
        <x:f>D57*E57</x:f>
        <x:v>5.864999999999999</x:v>
      </x:c>
      <x:c r="G57" s="16" t="n">
        <x:v>0.904</x:v>
      </x:c>
      <x:c r="H57" s="16" t="n">
        <x:f>F57/G57</x:f>
        <x:v>6.487831858407079</x:v>
      </x:c>
      <x:c r="I57" s="16" t="n">
        <x:v>0.655</x:v>
      </x:c>
      <x:c r="J57" s="16" t="n">
        <x:f>F57*I57</x:f>
        <x:v>3.8415749999999997</x:v>
      </x:c>
      <x:c r="K57" s="16" t="n">
        <x:f>J57*TAN(ACOS(G57))</x:f>
        <x:v>1.8168119363547814</x:v>
      </x:c>
      <x:c r="L57" s="16" t="n">
        <x:f>SQRT(J57^2+K57^2)</x:f>
        <x:v>4.249529867256637</x:v>
      </x:c>
      <x:c r="M57" s="16" t="str">
        <x:v>Three Phase</x:v>
      </x:c>
      <x:c r="N57" s="16" t="str">
        <x:v>RYB</x:v>
      </x:c>
      <x:c r="O57" s="16" t="str">
        <x:v>Yes</x:v>
      </x:c>
      <x:c r="P57" s="16" t="n">
        <x:v>8.5</x:v>
      </x:c>
      <x:c r="Q57" s="16" t="n">
        <x:v>0.706</x:v>
      </x:c>
      <x:c r="R57" s="16" t="n">
        <x:v>0.931</x:v>
      </x:c>
      <x:c r="S57" s="16" t="n">
        <x:f>F57*Q57</x:f>
        <x:v>4.140689999999999</x:v>
      </x:c>
      <x:c r="T57" s="16" t="n">
        <x:f>IF(O57="Yes",P57*R57,0)</x:f>
        <x:v>7.913500000000001</x:v>
      </x:c>
      <x:c r="U57" s="16" t="n">
        <x:f>S57-T57</x:f>
        <x:v>-3.7728100000000016</x:v>
      </x:c>
      <x:c r="V57" s="16" t="n">
        <x:f>S57*TAN(ACOS(G57))</x:f>
        <x:v>1.9582736291091232</x:v>
      </x:c>
      <x:c r="W57" s="16" t="n">
        <x:f>SQRT(U57^2+V57^2)</x:f>
        <x:v>4.250756509442081</x:v>
      </x:c>
      <x:c r="X57" s="13" t="str">
        <x:v>Yes</x:v>
      </x:c>
      <x:c r="Y57" s="13" t="str">
        <x:v>DT-5</x:v>
      </x:c>
      <x:c r="Z57" s="18" t="n">
        <x:v>69</x:v>
      </x:c>
      <x:c r="AA57" s="13" t="str"/>
      <x:c r="AB57" s="18" t="str"/>
      <x:c r="AC57" s="13" t="str">
        <x:v>No</x:v>
      </x:c>
      <x:c r="AD57" s="16" t="n">
        <x:f>IF(M57="Three Phase",J57/3,IF(N57="R",J57,0))</x:f>
        <x:v>1.280525</x:v>
      </x:c>
      <x:c r="AE57" s="16" t="n">
        <x:f>IF(M57="Three Phase",K57/3,IF(N57="R",K57,0))</x:f>
        <x:v>0.6056039787849271</x:v>
      </x:c>
      <x:c r="AF57" s="16" t="n">
        <x:f>IF(M57="Three Phase",J57/3,IF(N57="Y",J57,0))</x:f>
        <x:v>1.280525</x:v>
      </x:c>
      <x:c r="AG57" s="16" t="n">
        <x:f>IF(M57="Three Phase",K57/3,IF(N57="Y",K57,0))</x:f>
        <x:v>0.6056039787849271</x:v>
      </x:c>
      <x:c r="AH57" s="16" t="n">
        <x:f>IF(M57="Three Phase",J57/3,IF(N57="B",J57,0))</x:f>
        <x:v>1.280525</x:v>
      </x:c>
      <x:c r="AI57" s="16" t="n">
        <x:f>IF(M57="Three Phase",K57/3,IF(N57="B",K57,0))</x:f>
        <x:v>0.6056039787849271</x:v>
      </x:c>
      <x:c r="AJ57" s="16" t="n">
        <x:f>IF(M57="Three Phase",U57/3,IF(N57="R",U57,0))</x:f>
        <x:v>-1.2576033333333339</x:v>
      </x:c>
      <x:c r="AK57" s="16" t="n">
        <x:f>IF(M57="Three Phase",V57/3,IF(N57="R",V57,0))</x:f>
        <x:v>0.6527578763697077</x:v>
      </x:c>
      <x:c r="AL57" s="16" t="n">
        <x:f>IF(M57="Three Phase",U57/3,IF(N57="Y",U57,0))</x:f>
        <x:v>-1.2576033333333339</x:v>
      </x:c>
      <x:c r="AM57" s="16" t="n">
        <x:f>IF(M57="Three Phase",V57/3,IF(N57="Y",V57,0))</x:f>
        <x:v>0.6527578763697077</x:v>
      </x:c>
      <x:c r="AN57" s="16" t="n">
        <x:f>IF(M57="Three Phase",U57/3,IF(N57="B",U57,0))</x:f>
        <x:v>-1.2576033333333339</x:v>
      </x:c>
      <x:c r="AO57" s="16" t="n">
        <x:f>IF(M57="Three Phase",V57/3,IF(N57="B",V57,0))</x:f>
        <x:v>0.6527578763697077</x:v>
      </x:c>
    </x:row>
    <x:row r="58">
      <x:c r="A58" s="13" t="str">
        <x:v>C0057</x:v>
      </x:c>
      <x:c r="B58" s="13" t="str">
        <x:v>DT-4</x:v>
      </x:c>
      <x:c r="C58" s="13" t="str">
        <x:v>Residential</x:v>
      </x:c>
      <x:c r="D58" s="16" t="n">
        <x:v>5</x:v>
      </x:c>
      <x:c r="E58" s="16" t="n">
        <x:v>0.788</x:v>
      </x:c>
      <x:c r="F58" s="16" t="n">
        <x:f>D58*E58</x:f>
        <x:v>3.9400000000000004</x:v>
      </x:c>
      <x:c r="G58" s="16" t="n">
        <x:v>0.984</x:v>
      </x:c>
      <x:c r="H58" s="16" t="n">
        <x:f>F58/G58</x:f>
        <x:v>4.004065040650407</x:v>
      </x:c>
      <x:c r="I58" s="16" t="n">
        <x:v>0.759</x:v>
      </x:c>
      <x:c r="J58" s="16" t="n">
        <x:f>F58*I58</x:f>
        <x:v>2.99046</x:v>
      </x:c>
      <x:c r="K58" s="16" t="n">
        <x:f>J58*TAN(ACOS(G58))</x:f>
        <x:v>0.5414691582591439</x:v>
      </x:c>
      <x:c r="L58" s="16" t="n">
        <x:f>SQRT(J58^2+K58^2)</x:f>
        <x:v>3.0390853658536585</x:v>
      </x:c>
      <x:c r="M58" s="16" t="str">
        <x:v>Single Phase</x:v>
      </x:c>
      <x:c r="N58" s="16" t="str">
        <x:v>R</x:v>
      </x:c>
      <x:c r="O58" s="16" t="str">
        <x:v>No</x:v>
      </x:c>
      <x:c r="P58" s="16" t="n">
        <x:v>0</x:v>
      </x:c>
      <x:c r="Q58" s="16" t="n">
        <x:v>0.32</x:v>
      </x:c>
      <x:c r="R58" s="16" t="n">
        <x:v>0</x:v>
      </x:c>
      <x:c r="S58" s="16" t="n">
        <x:f>F58*Q58</x:f>
        <x:v>1.2608000000000001</x:v>
      </x:c>
      <x:c r="T58" s="16" t="n">
        <x:f>IF(O58="Yes",P58*R58,0)</x:f>
        <x:v>0</x:v>
      </x:c>
      <x:c r="U58" s="16" t="n">
        <x:f>S58-T58</x:f>
        <x:v>1.2608000000000001</x:v>
      </x:c>
      <x:c r="V58" s="16" t="n">
        <x:f>S58*TAN(ACOS(G58))</x:f>
        <x:v>0.22828739215141775</x:v>
      </x:c>
      <x:c r="W58" s="16" t="n">
        <x:f>SQRT(U58^2+V58^2)</x:f>
        <x:v>1.2813008130081303</x:v>
      </x:c>
      <x:c r="X58" s="13" t="str">
        <x:v>No</x:v>
      </x:c>
      <x:c r="Y58" s="13" t="str"/>
      <x:c r="Z58" s="18" t="str"/>
      <x:c r="AA58" s="13" t="str"/>
      <x:c r="AB58" s="18" t="str"/>
      <x:c r="AC58" s="13" t="str">
        <x:v>No</x:v>
      </x:c>
      <x:c r="AD58" s="16" t="n">
        <x:f>IF(M58="Three Phase",J58/3,IF(N58="R",J58,0))</x:f>
        <x:v>2.99046</x:v>
      </x:c>
      <x:c r="AE58" s="16" t="n">
        <x:f>IF(M58="Three Phase",K58/3,IF(N58="R",K58,0))</x:f>
        <x:v>0.5414691582591439</x:v>
      </x:c>
      <x:c r="AF58" s="16" t="n">
        <x:f>IF(M58="Three Phase",J58/3,IF(N58="Y",J58,0))</x:f>
        <x:v>0</x:v>
      </x:c>
      <x:c r="AG58" s="16" t="n">
        <x:f>IF(M58="Three Phase",K58/3,IF(N58="Y",K58,0))</x:f>
        <x:v>0</x:v>
      </x:c>
      <x:c r="AH58" s="16" t="n">
        <x:f>IF(M58="Three Phase",J58/3,IF(N58="B",J58,0))</x:f>
        <x:v>0</x:v>
      </x:c>
      <x:c r="AI58" s="16" t="n">
        <x:f>IF(M58="Three Phase",K58/3,IF(N58="B",K58,0))</x:f>
        <x:v>0</x:v>
      </x:c>
      <x:c r="AJ58" s="16" t="n">
        <x:f>IF(M58="Three Phase",U58/3,IF(N58="R",U58,0))</x:f>
        <x:v>1.2608000000000001</x:v>
      </x:c>
      <x:c r="AK58" s="16" t="n">
        <x:f>IF(M58="Three Phase",V58/3,IF(N58="R",V58,0))</x:f>
        <x:v>0.22828739215141775</x:v>
      </x:c>
      <x:c r="AL58" s="16" t="n">
        <x:f>IF(M58="Three Phase",U58/3,IF(N58="Y",U58,0))</x:f>
        <x:v>0</x:v>
      </x:c>
      <x:c r="AM58" s="16" t="n">
        <x:f>IF(M58="Three Phase",V58/3,IF(N58="Y",V58,0))</x:f>
        <x:v>0</x:v>
      </x:c>
      <x:c r="AN58" s="16" t="n">
        <x:f>IF(M58="Three Phase",U58/3,IF(N58="B",U58,0))</x:f>
        <x:v>0</x:v>
      </x:c>
      <x:c r="AO58" s="16" t="n">
        <x:f>IF(M58="Three Phase",V58/3,IF(N58="B",V58,0))</x:f>
        <x:v>0</x:v>
      </x:c>
    </x:row>
    <x:row r="59">
      <x:c r="A59" s="13" t="str">
        <x:v>C0058</x:v>
      </x:c>
      <x:c r="B59" s="13" t="str">
        <x:v>DT-4</x:v>
      </x:c>
      <x:c r="C59" s="13" t="str">
        <x:v>Residential</x:v>
      </x:c>
      <x:c r="D59" s="16" t="n">
        <x:v>6.5</x:v>
      </x:c>
      <x:c r="E59" s="16" t="n">
        <x:v>0.653</x:v>
      </x:c>
      <x:c r="F59" s="16" t="n">
        <x:f>D59*E59</x:f>
        <x:v>4.2445</x:v>
      </x:c>
      <x:c r="G59" s="16" t="n">
        <x:v>0.925</x:v>
      </x:c>
      <x:c r="H59" s="16" t="n">
        <x:f>F59/G59</x:f>
        <x:v>4.588648648648649</x:v>
      </x:c>
      <x:c r="I59" s="16" t="n">
        <x:v>0.994</x:v>
      </x:c>
      <x:c r="J59" s="16" t="n">
        <x:f>F59*I59</x:f>
        <x:v>4.2190330000000005</x:v>
      </x:c>
      <x:c r="K59" s="16" t="n">
        <x:f>J59*TAN(ACOS(G59))</x:f>
        <x:v>1.733074324337613</x:v>
      </x:c>
      <x:c r="L59" s="16" t="n">
        <x:f>SQRT(J59^2+K59^2)</x:f>
        <x:v>4.561116756756757</x:v>
      </x:c>
      <x:c r="M59" s="16" t="str">
        <x:v>Three Phase</x:v>
      </x:c>
      <x:c r="N59" s="16" t="str">
        <x:v>RYB</x:v>
      </x:c>
      <x:c r="O59" s="16" t="str">
        <x:v>No</x:v>
      </x:c>
      <x:c r="P59" s="16" t="n">
        <x:v>0</x:v>
      </x:c>
      <x:c r="Q59" s="16" t="n">
        <x:v>0.21</x:v>
      </x:c>
      <x:c r="R59" s="16" t="n">
        <x:v>0</x:v>
      </x:c>
      <x:c r="S59" s="16" t="n">
        <x:f>F59*Q59</x:f>
        <x:v>0.891345</x:v>
      </x:c>
      <x:c r="T59" s="16" t="n">
        <x:f>IF(O59="Yes",P59*R59,0)</x:f>
        <x:v>0</x:v>
      </x:c>
      <x:c r="U59" s="16" t="n">
        <x:f>S59-T59</x:f>
        <x:v>0.891345</x:v>
      </x:c>
      <x:c r="V59" s="16" t="n">
        <x:f>S59*TAN(ACOS(G59))</x:f>
        <x:v>0.36614246288822805</x:v>
      </x:c>
      <x:c r="W59" s="16" t="n">
        <x:f>SQRT(U59^2+V59^2)</x:f>
        <x:v>0.9636162162162163</x:v>
      </x:c>
      <x:c r="X59" s="13" t="str">
        <x:v>No</x:v>
      </x:c>
      <x:c r="Y59" s="13" t="str"/>
      <x:c r="Z59" s="18" t="str"/>
      <x:c r="AA59" s="13" t="str"/>
      <x:c r="AB59" s="18" t="str"/>
      <x:c r="AC59" s="13" t="str">
        <x:v>No</x:v>
      </x:c>
      <x:c r="AD59" s="16" t="n">
        <x:f>IF(M59="Three Phase",J59/3,IF(N59="R",J59,0))</x:f>
        <x:v>1.4063443333333334</x:v>
      </x:c>
      <x:c r="AE59" s="16" t="n">
        <x:f>IF(M59="Three Phase",K59/3,IF(N59="R",K59,0))</x:f>
        <x:v>0.577691441445871</x:v>
      </x:c>
      <x:c r="AF59" s="16" t="n">
        <x:f>IF(M59="Three Phase",J59/3,IF(N59="Y",J59,0))</x:f>
        <x:v>1.4063443333333334</x:v>
      </x:c>
      <x:c r="AG59" s="16" t="n">
        <x:f>IF(M59="Three Phase",K59/3,IF(N59="Y",K59,0))</x:f>
        <x:v>0.577691441445871</x:v>
      </x:c>
      <x:c r="AH59" s="16" t="n">
        <x:f>IF(M59="Three Phase",J59/3,IF(N59="B",J59,0))</x:f>
        <x:v>1.4063443333333334</x:v>
      </x:c>
      <x:c r="AI59" s="16" t="n">
        <x:f>IF(M59="Three Phase",K59/3,IF(N59="B",K59,0))</x:f>
        <x:v>0.577691441445871</x:v>
      </x:c>
      <x:c r="AJ59" s="16" t="n">
        <x:f>IF(M59="Three Phase",U59/3,IF(N59="R",U59,0))</x:f>
        <x:v>0.297115</x:v>
      </x:c>
      <x:c r="AK59" s="16" t="n">
        <x:f>IF(M59="Three Phase",V59/3,IF(N59="R",V59,0))</x:f>
        <x:v>0.12204748762940935</x:v>
      </x:c>
      <x:c r="AL59" s="16" t="n">
        <x:f>IF(M59="Three Phase",U59/3,IF(N59="Y",U59,0))</x:f>
        <x:v>0.297115</x:v>
      </x:c>
      <x:c r="AM59" s="16" t="n">
        <x:f>IF(M59="Three Phase",V59/3,IF(N59="Y",V59,0))</x:f>
        <x:v>0.12204748762940935</x:v>
      </x:c>
      <x:c r="AN59" s="16" t="n">
        <x:f>IF(M59="Three Phase",U59/3,IF(N59="B",U59,0))</x:f>
        <x:v>0.297115</x:v>
      </x:c>
      <x:c r="AO59" s="16" t="n">
        <x:f>IF(M59="Three Phase",V59/3,IF(N59="B",V59,0))</x:f>
        <x:v>0.12204748762940935</x:v>
      </x:c>
    </x:row>
    <x:row r="60">
      <x:c r="A60" s="13" t="str">
        <x:v>C0059</x:v>
      </x:c>
      <x:c r="B60" s="13" t="str">
        <x:v>DT-5</x:v>
      </x:c>
      <x:c r="C60" s="13" t="str">
        <x:v>Residential</x:v>
      </x:c>
      <x:c r="D60" s="16" t="n">
        <x:v>4</x:v>
      </x:c>
      <x:c r="E60" s="16" t="n">
        <x:v>0.783</x:v>
      </x:c>
      <x:c r="F60" s="16" t="n">
        <x:f>D60*E60</x:f>
        <x:v>3.132</x:v>
      </x:c>
      <x:c r="G60" s="16" t="n">
        <x:v>0.914</x:v>
      </x:c>
      <x:c r="H60" s="16" t="n">
        <x:f>F60/G60</x:f>
        <x:v>3.426695842450766</x:v>
      </x:c>
      <x:c r="I60" s="16" t="n">
        <x:v>0.71</x:v>
      </x:c>
      <x:c r="J60" s="16" t="n">
        <x:f>F60*I60</x:f>
        <x:v>2.22372</x:v>
      </x:c>
      <x:c r="K60" s="16" t="n">
        <x:f>J60*TAN(ACOS(G60))</x:f>
        <x:v>0.9870839690527985</x:v>
      </x:c>
      <x:c r="L60" s="16" t="n">
        <x:f>SQRT(J60^2+K60^2)</x:f>
        <x:v>2.432954048140044</x:v>
      </x:c>
      <x:c r="M60" s="16" t="str">
        <x:v>Single Phase</x:v>
      </x:c>
      <x:c r="N60" s="16" t="str">
        <x:v>Y</x:v>
      </x:c>
      <x:c r="O60" s="16" t="str">
        <x:v>Yes</x:v>
      </x:c>
      <x:c r="P60" s="16" t="n">
        <x:v>4</x:v>
      </x:c>
      <x:c r="Q60" s="16" t="n">
        <x:v>0.249</x:v>
      </x:c>
      <x:c r="R60" s="16" t="n">
        <x:v>0.893</x:v>
      </x:c>
      <x:c r="S60" s="16" t="n">
        <x:f>F60*Q60</x:f>
        <x:v>0.779868</x:v>
      </x:c>
      <x:c r="T60" s="16" t="n">
        <x:f>IF(O60="Yes",P60*R60,0)</x:f>
        <x:v>3.572</x:v>
      </x:c>
      <x:c r="U60" s="16" t="n">
        <x:f>S60-T60</x:f>
        <x:v>-2.792132</x:v>
      </x:c>
      <x:c r="V60" s="16" t="n">
        <x:f>S60*TAN(ACOS(G60))</x:f>
        <x:v>0.34617451872415045</x:v>
      </x:c>
      <x:c r="W60" s="16" t="n">
        <x:f>SQRT(U60^2+V60^2)</x:f>
        <x:v>2.813509890303906</x:v>
      </x:c>
      <x:c r="X60" s="13" t="str">
        <x:v>No</x:v>
      </x:c>
      <x:c r="Y60" s="13" t="str"/>
      <x:c r="Z60" s="18" t="str"/>
      <x:c r="AA60" s="13" t="str"/>
      <x:c r="AB60" s="18" t="str"/>
      <x:c r="AC60" s="13" t="str">
        <x:v>Yes</x:v>
      </x:c>
      <x:c r="AD60" s="16" t="n">
        <x:f>IF(M60="Three Phase",J60/3,IF(N60="R",J60,0))</x:f>
        <x:v>0</x:v>
      </x:c>
      <x:c r="AE60" s="16" t="n">
        <x:f>IF(M60="Three Phase",K60/3,IF(N60="R",K60,0))</x:f>
        <x:v>0</x:v>
      </x:c>
      <x:c r="AF60" s="16" t="n">
        <x:f>IF(M60="Three Phase",J60/3,IF(N60="Y",J60,0))</x:f>
        <x:v>2.22372</x:v>
      </x:c>
      <x:c r="AG60" s="16" t="n">
        <x:f>IF(M60="Three Phase",K60/3,IF(N60="Y",K60,0))</x:f>
        <x:v>0.9870839690527985</x:v>
      </x:c>
      <x:c r="AH60" s="16" t="n">
        <x:f>IF(M60="Three Phase",J60/3,IF(N60="B",J60,0))</x:f>
        <x:v>0</x:v>
      </x:c>
      <x:c r="AI60" s="16" t="n">
        <x:f>IF(M60="Three Phase",K60/3,IF(N60="B",K60,0))</x:f>
        <x:v>0</x:v>
      </x:c>
      <x:c r="AJ60" s="16" t="n">
        <x:f>IF(M60="Three Phase",U60/3,IF(N60="R",U60,0))</x:f>
        <x:v>0</x:v>
      </x:c>
      <x:c r="AK60" s="16" t="n">
        <x:f>IF(M60="Three Phase",V60/3,IF(N60="R",V60,0))</x:f>
        <x:v>0</x:v>
      </x:c>
      <x:c r="AL60" s="16" t="n">
        <x:f>IF(M60="Three Phase",U60/3,IF(N60="Y",U60,0))</x:f>
        <x:v>-2.792132</x:v>
      </x:c>
      <x:c r="AM60" s="16" t="n">
        <x:f>IF(M60="Three Phase",V60/3,IF(N60="Y",V60,0))</x:f>
        <x:v>0.34617451872415045</x:v>
      </x:c>
      <x:c r="AN60" s="16" t="n">
        <x:f>IF(M60="Three Phase",U60/3,IF(N60="B",U60,0))</x:f>
        <x:v>0</x:v>
      </x:c>
      <x:c r="AO60" s="16" t="n">
        <x:f>IF(M60="Three Phase",V60/3,IF(N60="B",V60,0))</x:f>
        <x:v>0</x:v>
      </x:c>
    </x:row>
    <x:row r="61">
      <x:c r="A61" s="13" t="str">
        <x:v>C0060</x:v>
      </x:c>
      <x:c r="B61" s="13" t="str">
        <x:v>DT-5</x:v>
      </x:c>
      <x:c r="C61" s="13" t="str">
        <x:v>Residential</x:v>
      </x:c>
      <x:c r="D61" s="16" t="n">
        <x:v>5</x:v>
      </x:c>
      <x:c r="E61" s="16" t="n">
        <x:v>0.635</x:v>
      </x:c>
      <x:c r="F61" s="16" t="n">
        <x:f>D61*E61</x:f>
        <x:v>3.175</x:v>
      </x:c>
      <x:c r="G61" s="16" t="n">
        <x:v>0.989</x:v>
      </x:c>
      <x:c r="H61" s="16" t="n">
        <x:f>F61/G61</x:f>
        <x:v>3.210313447927199</x:v>
      </x:c>
      <x:c r="I61" s="16" t="n">
        <x:v>0.859</x:v>
      </x:c>
      <x:c r="J61" s="16" t="n">
        <x:f>F61*I61</x:f>
        <x:v>2.727325</x:v>
      </x:c>
      <x:c r="K61" s="16" t="n">
        <x:f>J61*TAN(ACOS(G61))</x:f>
        <x:v>0.407900592356423</x:v>
      </x:c>
      <x:c r="L61" s="16" t="n">
        <x:f>SQRT(J61^2+K61^2)</x:f>
        <x:v>2.757659251769464</x:v>
      </x:c>
      <x:c r="M61" s="16" t="str">
        <x:v>Single Phase</x:v>
      </x:c>
      <x:c r="N61" s="16" t="str">
        <x:v>B</x:v>
      </x:c>
      <x:c r="O61" s="16" t="str">
        <x:v>Yes</x:v>
      </x:c>
      <x:c r="P61" s="16" t="n">
        <x:v>2.5</x:v>
      </x:c>
      <x:c r="Q61" s="16" t="n">
        <x:v>0.441</x:v>
      </x:c>
      <x:c r="R61" s="16" t="n">
        <x:v>0.801</x:v>
      </x:c>
      <x:c r="S61" s="16" t="n">
        <x:f>F61*Q61</x:f>
        <x:v>1.400175</x:v>
      </x:c>
      <x:c r="T61" s="16" t="n">
        <x:f>IF(O61="Yes",P61*R61,0)</x:f>
        <x:v>2.0025</x:v>
      </x:c>
      <x:c r="U61" s="16" t="n">
        <x:f>S61-T61</x:f>
        <x:v>-0.602325</x:v>
      </x:c>
      <x:c r="V61" s="16" t="n">
        <x:f>S61*TAN(ACOS(G61))</x:f>
        <x:v>0.2094111306509692</x:v>
      </x:c>
      <x:c r="W61" s="16" t="n">
        <x:f>SQRT(U61^2+V61^2)</x:f>
        <x:v>0.6376899146650489</x:v>
      </x:c>
      <x:c r="X61" s="13" t="str">
        <x:v>No</x:v>
      </x:c>
      <x:c r="Y61" s="13" t="str"/>
      <x:c r="Z61" s="18" t="str"/>
      <x:c r="AA61" s="13" t="str"/>
      <x:c r="AB61" s="18" t="str"/>
      <x:c r="AC61" s="13" t="str">
        <x:v>Yes</x:v>
      </x:c>
      <x:c r="AD61" s="16" t="n">
        <x:f>IF(M61="Three Phase",J61/3,IF(N61="R",J61,0))</x:f>
        <x:v>0</x:v>
      </x:c>
      <x:c r="AE61" s="16" t="n">
        <x:f>IF(M61="Three Phase",K61/3,IF(N61="R",K61,0))</x:f>
        <x:v>0</x:v>
      </x:c>
      <x:c r="AF61" s="16" t="n">
        <x:f>IF(M61="Three Phase",J61/3,IF(N61="Y",J61,0))</x:f>
        <x:v>0</x:v>
      </x:c>
      <x:c r="AG61" s="16" t="n">
        <x:f>IF(M61="Three Phase",K61/3,IF(N61="Y",K61,0))</x:f>
        <x:v>0</x:v>
      </x:c>
      <x:c r="AH61" s="16" t="n">
        <x:f>IF(M61="Three Phase",J61/3,IF(N61="B",J61,0))</x:f>
        <x:v>2.727325</x:v>
      </x:c>
      <x:c r="AI61" s="16" t="n">
        <x:f>IF(M61="Three Phase",K61/3,IF(N61="B",K61,0))</x:f>
        <x:v>0.407900592356423</x:v>
      </x:c>
      <x:c r="AJ61" s="16" t="n">
        <x:f>IF(M61="Three Phase",U61/3,IF(N61="R",U61,0))</x:f>
        <x:v>0</x:v>
      </x:c>
      <x:c r="AK61" s="16" t="n">
        <x:f>IF(M61="Three Phase",V61/3,IF(N61="R",V61,0))</x:f>
        <x:v>0</x:v>
      </x:c>
      <x:c r="AL61" s="16" t="n">
        <x:f>IF(M61="Three Phase",U61/3,IF(N61="Y",U61,0))</x:f>
        <x:v>0</x:v>
      </x:c>
      <x:c r="AM61" s="16" t="n">
        <x:f>IF(M61="Three Phase",V61/3,IF(N61="Y",V61,0))</x:f>
        <x:v>0</x:v>
      </x:c>
      <x:c r="AN61" s="16" t="n">
        <x:f>IF(M61="Three Phase",U61/3,IF(N61="B",U61,0))</x:f>
        <x:v>-0.602325</x:v>
      </x:c>
      <x:c r="AO61" s="16" t="n">
        <x:f>IF(M61="Three Phase",V61/3,IF(N61="B",V61,0))</x:f>
        <x:v>0.2094111306509692</x:v>
      </x:c>
    </x:row>
    <x:row r="62">
      <x:c r="A62" s="13" t="str">
        <x:v>C0061</x:v>
      </x:c>
      <x:c r="B62" s="13" t="str">
        <x:v>DT-5</x:v>
      </x:c>
      <x:c r="C62" s="13" t="str">
        <x:v>Commercial</x:v>
      </x:c>
      <x:c r="D62" s="16" t="n">
        <x:v>6.5</x:v>
      </x:c>
      <x:c r="E62" s="16" t="n">
        <x:v>0.502</x:v>
      </x:c>
      <x:c r="F62" s="16" t="n">
        <x:f>D62*E62</x:f>
        <x:v>3.263</x:v>
      </x:c>
      <x:c r="G62" s="16" t="n">
        <x:v>0.986</x:v>
      </x:c>
      <x:c r="H62" s="16" t="n">
        <x:f>F62/G62</x:f>
        <x:v>3.3093306288032456</x:v>
      </x:c>
      <x:c r="I62" s="16" t="n">
        <x:v>0.604</x:v>
      </x:c>
      <x:c r="J62" s="16" t="n">
        <x:f>F62*I62</x:f>
        <x:v>1.9708519999999998</x:v>
      </x:c>
      <x:c r="K62" s="16" t="n">
        <x:f>J62*TAN(ACOS(G62))</x:f>
        <x:v>0.33329648794969835</x:v>
      </x:c>
      <x:c r="L62" s="16" t="n">
        <x:f>SQRT(J62^2+K62^2)</x:f>
        <x:v>1.9988356997971601</x:v>
      </x:c>
      <x:c r="M62" s="16" t="str">
        <x:v>Three Phase</x:v>
      </x:c>
      <x:c r="N62" s="16" t="str">
        <x:v>RYB</x:v>
      </x:c>
      <x:c r="O62" s="16" t="str">
        <x:v>No</x:v>
      </x:c>
      <x:c r="P62" s="16" t="n">
        <x:v>0</x:v>
      </x:c>
      <x:c r="Q62" s="16" t="n">
        <x:v>0.71</x:v>
      </x:c>
      <x:c r="R62" s="16" t="n">
        <x:v>0</x:v>
      </x:c>
      <x:c r="S62" s="16" t="n">
        <x:f>F62*Q62</x:f>
        <x:v>2.3167299999999997</x:v>
      </x:c>
      <x:c r="T62" s="16" t="n">
        <x:f>IF(O62="Yes",P62*R62,0)</x:f>
        <x:v>0</x:v>
      </x:c>
      <x:c r="U62" s="16" t="n">
        <x:f>S62-T62</x:f>
        <x:v>2.3167299999999997</x:v>
      </x:c>
      <x:c r="V62" s="16" t="n">
        <x:f>S62*TAN(ACOS(G62))</x:f>
        <x:v>0.3917889179541156</x:v>
      </x:c>
      <x:c r="W62" s="16" t="n">
        <x:f>SQRT(U62^2+V62^2)</x:f>
        <x:v>2.349624746450304</x:v>
      </x:c>
      <x:c r="X62" s="13" t="str">
        <x:v>No</x:v>
      </x:c>
      <x:c r="Y62" s="13" t="str"/>
      <x:c r="Z62" s="18" t="str"/>
      <x:c r="AA62" s="13" t="str"/>
      <x:c r="AB62" s="18" t="str"/>
      <x:c r="AC62" s="13" t="str">
        <x:v>No</x:v>
      </x:c>
      <x:c r="AD62" s="16" t="n">
        <x:f>IF(M62="Three Phase",J62/3,IF(N62="R",J62,0))</x:f>
        <x:v>0.6569506666666666</x:v>
      </x:c>
      <x:c r="AE62" s="16" t="n">
        <x:f>IF(M62="Three Phase",K62/3,IF(N62="R",K62,0))</x:f>
        <x:v>0.11109882931656612</x:v>
      </x:c>
      <x:c r="AF62" s="16" t="n">
        <x:f>IF(M62="Three Phase",J62/3,IF(N62="Y",J62,0))</x:f>
        <x:v>0.6569506666666666</x:v>
      </x:c>
      <x:c r="AG62" s="16" t="n">
        <x:f>IF(M62="Three Phase",K62/3,IF(N62="Y",K62,0))</x:f>
        <x:v>0.11109882931656612</x:v>
      </x:c>
      <x:c r="AH62" s="16" t="n">
        <x:f>IF(M62="Three Phase",J62/3,IF(N62="B",J62,0))</x:f>
        <x:v>0.6569506666666666</x:v>
      </x:c>
      <x:c r="AI62" s="16" t="n">
        <x:f>IF(M62="Three Phase",K62/3,IF(N62="B",K62,0))</x:f>
        <x:v>0.11109882931656612</x:v>
      </x:c>
      <x:c r="AJ62" s="16" t="n">
        <x:f>IF(M62="Three Phase",U62/3,IF(N62="R",U62,0))</x:f>
        <x:v>0.7722433333333333</x:v>
      </x:c>
      <x:c r="AK62" s="16" t="n">
        <x:f>IF(M62="Three Phase",V62/3,IF(N62="R",V62,0))</x:f>
        <x:v>0.1305963059847052</x:v>
      </x:c>
      <x:c r="AL62" s="16" t="n">
        <x:f>IF(M62="Three Phase",U62/3,IF(N62="Y",U62,0))</x:f>
        <x:v>0.7722433333333333</x:v>
      </x:c>
      <x:c r="AM62" s="16" t="n">
        <x:f>IF(M62="Three Phase",V62/3,IF(N62="Y",V62,0))</x:f>
        <x:v>0.1305963059847052</x:v>
      </x:c>
      <x:c r="AN62" s="16" t="n">
        <x:f>IF(M62="Three Phase",U62/3,IF(N62="B",U62,0))</x:f>
        <x:v>0.7722433333333333</x:v>
      </x:c>
      <x:c r="AO62" s="16" t="n">
        <x:f>IF(M62="Three Phase",V62/3,IF(N62="B",V62,0))</x:f>
        <x:v>0.1305963059847052</x:v>
      </x:c>
    </x:row>
    <x:row r="63">
      <x:c r="A63" s="13" t="str">
        <x:v>C0062</x:v>
      </x:c>
      <x:c r="B63" s="13" t="str">
        <x:v>DT-5</x:v>
      </x:c>
      <x:c r="C63" s="13" t="str">
        <x:v>Residential</x:v>
      </x:c>
      <x:c r="D63" s="16" t="n">
        <x:v>4</x:v>
      </x:c>
      <x:c r="E63" s="16" t="n">
        <x:v>0.415</x:v>
      </x:c>
      <x:c r="F63" s="16" t="n">
        <x:f>D63*E63</x:f>
        <x:v>1.66</x:v>
      </x:c>
      <x:c r="G63" s="16" t="n">
        <x:v>0.958</x:v>
      </x:c>
      <x:c r="H63" s="16" t="n">
        <x:f>F63/G63</x:f>
        <x:v>1.732776617954071</x:v>
      </x:c>
      <x:c r="I63" s="16" t="n">
        <x:v>0.928</x:v>
      </x:c>
      <x:c r="J63" s="16" t="n">
        <x:f>F63*I63</x:f>
        <x:v>1.54048</x:v>
      </x:c>
      <x:c r="K63" s="16" t="n">
        <x:f>J63*TAN(ACOS(G63))</x:f>
        <x:v>0.46112805355858605</x:v>
      </x:c>
      <x:c r="L63" s="16" t="n">
        <x:f>SQRT(J63^2+K63^2)</x:f>
        <x:v>1.608016701461378</x:v>
      </x:c>
      <x:c r="M63" s="16" t="str">
        <x:v>Single Phase</x:v>
      </x:c>
      <x:c r="N63" s="16" t="str">
        <x:v>R</x:v>
      </x:c>
      <x:c r="O63" s="16" t="str">
        <x:v>No</x:v>
      </x:c>
      <x:c r="P63" s="16" t="n">
        <x:v>0</x:v>
      </x:c>
      <x:c r="Q63" s="16" t="n">
        <x:v>0.207</x:v>
      </x:c>
      <x:c r="R63" s="16" t="n">
        <x:v>0</x:v>
      </x:c>
      <x:c r="S63" s="16" t="n">
        <x:f>F63*Q63</x:f>
        <x:v>0.34362</x:v>
      </x:c>
      <x:c r="T63" s="16" t="n">
        <x:f>IF(O63="Yes",P63*R63,0)</x:f>
        <x:v>0</x:v>
      </x:c>
      <x:c r="U63" s="16" t="n">
        <x:f>S63-T63</x:f>
        <x:v>0.34362</x:v>
      </x:c>
      <x:c r="V63" s="16" t="n">
        <x:f>S63*TAN(ACOS(G63))</x:f>
        <x:v>0.10285938263645183</x:v>
      </x:c>
      <x:c r="W63" s="16" t="n">
        <x:f>SQRT(U63^2+V63^2)</x:f>
        <x:v>0.3586847599164927</x:v>
      </x:c>
      <x:c r="X63" s="13" t="str">
        <x:v>No</x:v>
      </x:c>
      <x:c r="Y63" s="13" t="str"/>
      <x:c r="Z63" s="18" t="str"/>
      <x:c r="AA63" s="13" t="str"/>
      <x:c r="AB63" s="18" t="str"/>
      <x:c r="AC63" s="13" t="str">
        <x:v>No</x:v>
      </x:c>
      <x:c r="AD63" s="16" t="n">
        <x:f>IF(M63="Three Phase",J63/3,IF(N63="R",J63,0))</x:f>
        <x:v>1.54048</x:v>
      </x:c>
      <x:c r="AE63" s="16" t="n">
        <x:f>IF(M63="Three Phase",K63/3,IF(N63="R",K63,0))</x:f>
        <x:v>0.46112805355858605</x:v>
      </x:c>
      <x:c r="AF63" s="16" t="n">
        <x:f>IF(M63="Three Phase",J63/3,IF(N63="Y",J63,0))</x:f>
        <x:v>0</x:v>
      </x:c>
      <x:c r="AG63" s="16" t="n">
        <x:f>IF(M63="Three Phase",K63/3,IF(N63="Y",K63,0))</x:f>
        <x:v>0</x:v>
      </x:c>
      <x:c r="AH63" s="16" t="n">
        <x:f>IF(M63="Three Phase",J63/3,IF(N63="B",J63,0))</x:f>
        <x:v>0</x:v>
      </x:c>
      <x:c r="AI63" s="16" t="n">
        <x:f>IF(M63="Three Phase",K63/3,IF(N63="B",K63,0))</x:f>
        <x:v>0</x:v>
      </x:c>
      <x:c r="AJ63" s="16" t="n">
        <x:f>IF(M63="Three Phase",U63/3,IF(N63="R",U63,0))</x:f>
        <x:v>0.34362</x:v>
      </x:c>
      <x:c r="AK63" s="16" t="n">
        <x:f>IF(M63="Three Phase",V63/3,IF(N63="R",V63,0))</x:f>
        <x:v>0.10285938263645183</x:v>
      </x:c>
      <x:c r="AL63" s="16" t="n">
        <x:f>IF(M63="Three Phase",U63/3,IF(N63="Y",U63,0))</x:f>
        <x:v>0</x:v>
      </x:c>
      <x:c r="AM63" s="16" t="n">
        <x:f>IF(M63="Three Phase",V63/3,IF(N63="Y",V63,0))</x:f>
        <x:v>0</x:v>
      </x:c>
      <x:c r="AN63" s="16" t="n">
        <x:f>IF(M63="Three Phase",U63/3,IF(N63="B",U63,0))</x:f>
        <x:v>0</x:v>
      </x:c>
      <x:c r="AO63" s="16" t="n">
        <x:f>IF(M63="Three Phase",V63/3,IF(N63="B",V63,0))</x:f>
        <x:v>0</x:v>
      </x:c>
    </x:row>
    <x:row r="64">
      <x:c r="A64" s="13" t="str">
        <x:v>C0063</x:v>
      </x:c>
      <x:c r="B64" s="13" t="str">
        <x:v>DT-5</x:v>
      </x:c>
      <x:c r="C64" s="13" t="str">
        <x:v>Residential</x:v>
      </x:c>
      <x:c r="D64" s="16" t="n">
        <x:v>2</x:v>
      </x:c>
      <x:c r="E64" s="16" t="n">
        <x:v>0.659</x:v>
      </x:c>
      <x:c r="F64" s="16" t="n">
        <x:f>D64*E64</x:f>
        <x:v>1.318</x:v>
      </x:c>
      <x:c r="G64" s="16" t="n">
        <x:v>0.98</x:v>
      </x:c>
      <x:c r="H64" s="16" t="n">
        <x:f>F64/G64</x:f>
        <x:v>1.3448979591836736</x:v>
      </x:c>
      <x:c r="I64" s="16" t="n">
        <x:v>0.748</x:v>
      </x:c>
      <x:c r="J64" s="16" t="n">
        <x:f>F64*I64</x:f>
        <x:v>0.9858640000000001</x:v>
      </x:c>
      <x:c r="K64" s="16" t="n">
        <x:f>J64*TAN(ACOS(G64))</x:f>
        <x:v>0.2001882234072819</x:v>
      </x:c>
      <x:c r="L64" s="16" t="n">
        <x:f>SQRT(J64^2+K64^2)</x:f>
        <x:v>1.0059836734693879</x:v>
      </x:c>
      <x:c r="M64" s="16" t="str">
        <x:v>Single Phase</x:v>
      </x:c>
      <x:c r="N64" s="16" t="str">
        <x:v>Y</x:v>
      </x:c>
      <x:c r="O64" s="16" t="str">
        <x:v>No</x:v>
      </x:c>
      <x:c r="P64" s="16" t="n">
        <x:v>0</x:v>
      </x:c>
      <x:c r="Q64" s="16" t="n">
        <x:v>0.382</x:v>
      </x:c>
      <x:c r="R64" s="16" t="n">
        <x:v>0</x:v>
      </x:c>
      <x:c r="S64" s="16" t="n">
        <x:f>F64*Q64</x:f>
        <x:v>0.503476</x:v>
      </x:c>
      <x:c r="T64" s="16" t="n">
        <x:f>IF(O64="Yes",P64*R64,0)</x:f>
        <x:v>0</x:v>
      </x:c>
      <x:c r="U64" s="16" t="n">
        <x:f>S64-T64</x:f>
        <x:v>0.503476</x:v>
      </x:c>
      <x:c r="V64" s="16" t="n">
        <x:f>S64*TAN(ACOS(G64))</x:f>
        <x:v>0.10223516222136589</x:v>
      </x:c>
      <x:c r="W64" s="16" t="n">
        <x:f>SQRT(U64^2+V64^2)</x:f>
        <x:v>0.5137510204081633</x:v>
      </x:c>
      <x:c r="X64" s="13" t="str">
        <x:v>No</x:v>
      </x:c>
      <x:c r="Y64" s="13" t="str"/>
      <x:c r="Z64" s="18" t="str"/>
      <x:c r="AA64" s="13" t="str"/>
      <x:c r="AB64" s="18" t="str"/>
      <x:c r="AC64" s="13" t="str">
        <x:v>Yes</x:v>
      </x:c>
      <x:c r="AD64" s="16" t="n">
        <x:f>IF(M64="Three Phase",J64/3,IF(N64="R",J64,0))</x:f>
        <x:v>0</x:v>
      </x:c>
      <x:c r="AE64" s="16" t="n">
        <x:f>IF(M64="Three Phase",K64/3,IF(N64="R",K64,0))</x:f>
        <x:v>0</x:v>
      </x:c>
      <x:c r="AF64" s="16" t="n">
        <x:f>IF(M64="Three Phase",J64/3,IF(N64="Y",J64,0))</x:f>
        <x:v>0.9858640000000001</x:v>
      </x:c>
      <x:c r="AG64" s="16" t="n">
        <x:f>IF(M64="Three Phase",K64/3,IF(N64="Y",K64,0))</x:f>
        <x:v>0.2001882234072819</x:v>
      </x:c>
      <x:c r="AH64" s="16" t="n">
        <x:f>IF(M64="Three Phase",J64/3,IF(N64="B",J64,0))</x:f>
        <x:v>0</x:v>
      </x:c>
      <x:c r="AI64" s="16" t="n">
        <x:f>IF(M64="Three Phase",K64/3,IF(N64="B",K64,0))</x:f>
        <x:v>0</x:v>
      </x:c>
      <x:c r="AJ64" s="16" t="n">
        <x:f>IF(M64="Three Phase",U64/3,IF(N64="R",U64,0))</x:f>
        <x:v>0</x:v>
      </x:c>
      <x:c r="AK64" s="16" t="n">
        <x:f>IF(M64="Three Phase",V64/3,IF(N64="R",V64,0))</x:f>
        <x:v>0</x:v>
      </x:c>
      <x:c r="AL64" s="16" t="n">
        <x:f>IF(M64="Three Phase",U64/3,IF(N64="Y",U64,0))</x:f>
        <x:v>0.503476</x:v>
      </x:c>
      <x:c r="AM64" s="16" t="n">
        <x:f>IF(M64="Three Phase",V64/3,IF(N64="Y",V64,0))</x:f>
        <x:v>0.10223516222136589</x:v>
      </x:c>
      <x:c r="AN64" s="16" t="n">
        <x:f>IF(M64="Three Phase",U64/3,IF(N64="B",U64,0))</x:f>
        <x:v>0</x:v>
      </x:c>
      <x:c r="AO64" s="16" t="n">
        <x:f>IF(M64="Three Phase",V64/3,IF(N64="B",V64,0))</x:f>
        <x:v>0</x:v>
      </x:c>
    </x:row>
    <x:row r="65">
      <x:c r="A65" s="13" t="str">
        <x:v>C0064</x:v>
      </x:c>
      <x:c r="B65" s="13" t="str">
        <x:v>DT-5</x:v>
      </x:c>
      <x:c r="C65" s="13" t="str">
        <x:v>Commercial</x:v>
      </x:c>
      <x:c r="D65" s="16" t="n">
        <x:v>10</x:v>
      </x:c>
      <x:c r="E65" s="16" t="n">
        <x:v>0.665</x:v>
      </x:c>
      <x:c r="F65" s="16" t="n">
        <x:f>D65*E65</x:f>
        <x:v>6.65</x:v>
      </x:c>
      <x:c r="G65" s="16" t="n">
        <x:v>0.968</x:v>
      </x:c>
      <x:c r="H65" s="16" t="n">
        <x:f>F65/G65</x:f>
        <x:v>6.8698347107438025</x:v>
      </x:c>
      <x:c r="I65" s="16" t="n">
        <x:v>0.616</x:v>
      </x:c>
      <x:c r="J65" s="16" t="n">
        <x:f>F65*I65</x:f>
        <x:v>4.0964</x:v>
      </x:c>
      <x:c r="K65" s="16" t="n">
        <x:f>J65*TAN(ACOS(G65))</x:f>
        <x:v>1.061975594807594</x:v>
      </x:c>
      <x:c r="L65" s="16" t="n">
        <x:f>SQRT(J65^2+K65^2)</x:f>
        <x:v>4.231818181818182</x:v>
      </x:c>
      <x:c r="M65" s="16" t="str">
        <x:v>Three Phase</x:v>
      </x:c>
      <x:c r="N65" s="16" t="str">
        <x:v>RYB</x:v>
      </x:c>
      <x:c r="O65" s="16" t="str">
        <x:v>No</x:v>
      </x:c>
      <x:c r="P65" s="16" t="n">
        <x:v>0</x:v>
      </x:c>
      <x:c r="Q65" s="16" t="n">
        <x:v>0.502</x:v>
      </x:c>
      <x:c r="R65" s="16" t="n">
        <x:v>0</x:v>
      </x:c>
      <x:c r="S65" s="16" t="n">
        <x:f>F65*Q65</x:f>
        <x:v>3.3383000000000003</x:v>
      </x:c>
      <x:c r="T65" s="16" t="n">
        <x:f>IF(O65="Yes",P65*R65,0)</x:f>
        <x:v>0</x:v>
      </x:c>
      <x:c r="U65" s="16" t="n">
        <x:f>S65-T65</x:f>
        <x:v>3.3383000000000003</x:v>
      </x:c>
      <x:c r="V65" s="16" t="n">
        <x:f>S65*TAN(ACOS(G65))</x:f>
        <x:v>0.8654411503139808</x:v>
      </x:c>
      <x:c r="W65" s="16" t="n">
        <x:f>SQRT(U65^2+V65^2)</x:f>
        <x:v>3.448657024793389</x:v>
      </x:c>
      <x:c r="X65" s="13" t="str">
        <x:v>Yes</x:v>
      </x:c>
      <x:c r="Y65" s="13" t="str">
        <x:v>DT-2</x:v>
      </x:c>
      <x:c r="Z65" s="18" t="n">
        <x:v>97</x:v>
      </x:c>
      <x:c r="AA65" s="13" t="str"/>
      <x:c r="AB65" s="18" t="str"/>
      <x:c r="AC65" s="13" t="str">
        <x:v>No</x:v>
      </x:c>
      <x:c r="AD65" s="16" t="n">
        <x:f>IF(M65="Three Phase",J65/3,IF(N65="R",J65,0))</x:f>
        <x:v>1.3654666666666666</x:v>
      </x:c>
      <x:c r="AE65" s="16" t="n">
        <x:f>IF(M65="Three Phase",K65/3,IF(N65="R",K65,0))</x:f>
        <x:v>0.35399186493586465</x:v>
      </x:c>
      <x:c r="AF65" s="16" t="n">
        <x:f>IF(M65="Three Phase",J65/3,IF(N65="Y",J65,0))</x:f>
        <x:v>1.3654666666666666</x:v>
      </x:c>
      <x:c r="AG65" s="16" t="n">
        <x:f>IF(M65="Three Phase",K65/3,IF(N65="Y",K65,0))</x:f>
        <x:v>0.35399186493586465</x:v>
      </x:c>
      <x:c r="AH65" s="16" t="n">
        <x:f>IF(M65="Three Phase",J65/3,IF(N65="B",J65,0))</x:f>
        <x:v>1.3654666666666666</x:v>
      </x:c>
      <x:c r="AI65" s="16" t="n">
        <x:f>IF(M65="Three Phase",K65/3,IF(N65="B",K65,0))</x:f>
        <x:v>0.35399186493586465</x:v>
      </x:c>
      <x:c r="AJ65" s="16" t="n">
        <x:f>IF(M65="Three Phase",U65/3,IF(N65="R",U65,0))</x:f>
        <x:v>1.1127666666666667</x:v>
      </x:c>
      <x:c r="AK65" s="16" t="n">
        <x:f>IF(M65="Three Phase",V65/3,IF(N65="R",V65,0))</x:f>
        <x:v>0.2884803834379936</x:v>
      </x:c>
      <x:c r="AL65" s="16" t="n">
        <x:f>IF(M65="Three Phase",U65/3,IF(N65="Y",U65,0))</x:f>
        <x:v>1.1127666666666667</x:v>
      </x:c>
      <x:c r="AM65" s="16" t="n">
        <x:f>IF(M65="Three Phase",V65/3,IF(N65="Y",V65,0))</x:f>
        <x:v>0.2884803834379936</x:v>
      </x:c>
      <x:c r="AN65" s="16" t="n">
        <x:f>IF(M65="Three Phase",U65/3,IF(N65="B",U65,0))</x:f>
        <x:v>1.1127666666666667</x:v>
      </x:c>
      <x:c r="AO65" s="16" t="n">
        <x:f>IF(M65="Three Phase",V65/3,IF(N65="B",V65,0))</x:f>
        <x:v>0.2884803834379936</x:v>
      </x:c>
    </x:row>
    <x:row r="66">
      <x:c r="A66" s="13" t="str">
        <x:v>C0065</x:v>
      </x:c>
      <x:c r="B66" s="13" t="str">
        <x:v>DT-5</x:v>
      </x:c>
      <x:c r="C66" s="13" t="str">
        <x:v>Commercial</x:v>
      </x:c>
      <x:c r="D66" s="16" t="n">
        <x:v>11.5</x:v>
      </x:c>
      <x:c r="E66" s="16" t="n">
        <x:v>0.602</x:v>
      </x:c>
      <x:c r="F66" s="16" t="n">
        <x:f>D66*E66</x:f>
        <x:v>6.923</x:v>
      </x:c>
      <x:c r="G66" s="16" t="n">
        <x:v>0.941</x:v>
      </x:c>
      <x:c r="H66" s="16" t="n">
        <x:f>F66/G66</x:f>
        <x:v>7.357066950053135</x:v>
      </x:c>
      <x:c r="I66" s="16" t="n">
        <x:v>0.853</x:v>
      </x:c>
      <x:c r="J66" s="16" t="n">
        <x:f>F66*I66</x:f>
        <x:v>5.9053189999999995</x:v>
      </x:c>
      <x:c r="K66" s="16" t="n">
        <x:f>J66*TAN(ACOS(G66))</x:f>
        <x:v>2.123696801054623</x:v>
      </x:c>
      <x:c r="L66" s="16" t="n">
        <x:f>SQRT(J66^2+K66^2)</x:f>
        <x:v>6.275578108395324</x:v>
      </x:c>
      <x:c r="M66" s="16" t="str">
        <x:v>Three Phase</x:v>
      </x:c>
      <x:c r="N66" s="16" t="str">
        <x:v>RYB</x:v>
      </x:c>
      <x:c r="O66" s="16" t="str">
        <x:v>No</x:v>
      </x:c>
      <x:c r="P66" s="16" t="n">
        <x:v>0</x:v>
      </x:c>
      <x:c r="Q66" s="16" t="n">
        <x:v>0.743</x:v>
      </x:c>
      <x:c r="R66" s="16" t="n">
        <x:v>0</x:v>
      </x:c>
      <x:c r="S66" s="16" t="n">
        <x:f>F66*Q66</x:f>
        <x:v>5.143789</x:v>
      </x:c>
      <x:c r="T66" s="16" t="n">
        <x:f>IF(O66="Yes",P66*R66,0)</x:f>
        <x:v>0</x:v>
      </x:c>
      <x:c r="U66" s="16" t="n">
        <x:f>S66-T66</x:f>
        <x:v>5.143789</x:v>
      </x:c>
      <x:c r="V66" s="16" t="n">
        <x:f>S66*TAN(ACOS(G66))</x:f>
        <x:v>1.849832031868212</x:v>
      </x:c>
      <x:c r="W66" s="16" t="n">
        <x:f>SQRT(U66^2+V66^2)</x:f>
        <x:v>5.466300743889479</x:v>
      </x:c>
      <x:c r="X66" s="13" t="str">
        <x:v>Yes</x:v>
      </x:c>
      <x:c r="Y66" s="13" t="str">
        <x:v>DT-2</x:v>
      </x:c>
      <x:c r="Z66" s="18" t="n">
        <x:v>48</x:v>
      </x:c>
      <x:c r="AA66" s="13" t="str"/>
      <x:c r="AB66" s="18" t="str"/>
      <x:c r="AC66" s="13" t="str">
        <x:v>No</x:v>
      </x:c>
      <x:c r="AD66" s="16" t="n">
        <x:f>IF(M66="Three Phase",J66/3,IF(N66="R",J66,0))</x:f>
        <x:v>1.9684396666666666</x:v>
      </x:c>
      <x:c r="AE66" s="16" t="n">
        <x:f>IF(M66="Three Phase",K66/3,IF(N66="R",K66,0))</x:f>
        <x:v>0.7078989336848743</x:v>
      </x:c>
      <x:c r="AF66" s="16" t="n">
        <x:f>IF(M66="Three Phase",J66/3,IF(N66="Y",J66,0))</x:f>
        <x:v>1.9684396666666666</x:v>
      </x:c>
      <x:c r="AG66" s="16" t="n">
        <x:f>IF(M66="Three Phase",K66/3,IF(N66="Y",K66,0))</x:f>
        <x:v>0.7078989336848743</x:v>
      </x:c>
      <x:c r="AH66" s="16" t="n">
        <x:f>IF(M66="Three Phase",J66/3,IF(N66="B",J66,0))</x:f>
        <x:v>1.9684396666666666</x:v>
      </x:c>
      <x:c r="AI66" s="16" t="n">
        <x:f>IF(M66="Three Phase",K66/3,IF(N66="B",K66,0))</x:f>
        <x:v>0.7078989336848743</x:v>
      </x:c>
      <x:c r="AJ66" s="16" t="n">
        <x:f>IF(M66="Three Phase",U66/3,IF(N66="R",U66,0))</x:f>
        <x:v>1.7145963333333334</x:v>
      </x:c>
      <x:c r="AK66" s="16" t="n">
        <x:f>IF(M66="Three Phase",V66/3,IF(N66="R",V66,0))</x:f>
        <x:v>0.616610677289404</x:v>
      </x:c>
      <x:c r="AL66" s="16" t="n">
        <x:f>IF(M66="Three Phase",U66/3,IF(N66="Y",U66,0))</x:f>
        <x:v>1.7145963333333334</x:v>
      </x:c>
      <x:c r="AM66" s="16" t="n">
        <x:f>IF(M66="Three Phase",V66/3,IF(N66="Y",V66,0))</x:f>
        <x:v>0.616610677289404</x:v>
      </x:c>
      <x:c r="AN66" s="16" t="n">
        <x:f>IF(M66="Three Phase",U66/3,IF(N66="B",U66,0))</x:f>
        <x:v>1.7145963333333334</x:v>
      </x:c>
      <x:c r="AO66" s="16" t="n">
        <x:f>IF(M66="Three Phase",V66/3,IF(N66="B",V66,0))</x:f>
        <x:v>0.616610677289404</x:v>
      </x:c>
    </x:row>
    <x:row r="67">
      <x:c r="A67" s="13" t="str">
        <x:v>C0066</x:v>
      </x:c>
      <x:c r="B67" s="13" t="str">
        <x:v>DT-5</x:v>
      </x:c>
      <x:c r="C67" s="13" t="str">
        <x:v>Residential</x:v>
      </x:c>
      <x:c r="D67" s="16" t="n">
        <x:v>3.5</x:v>
      </x:c>
      <x:c r="E67" s="16" t="n">
        <x:v>0.619</x:v>
      </x:c>
      <x:c r="F67" s="16" t="n">
        <x:f>D67*E67</x:f>
        <x:v>2.1665</x:v>
      </x:c>
      <x:c r="G67" s="16" t="n">
        <x:v>0.98</x:v>
      </x:c>
      <x:c r="H67" s="16" t="n">
        <x:f>F67/G67</x:f>
        <x:v>2.210714285714286</x:v>
      </x:c>
      <x:c r="I67" s="16" t="n">
        <x:v>0.774</x:v>
      </x:c>
      <x:c r="J67" s="16" t="n">
        <x:f>F67*I67</x:f>
        <x:v>1.6768710000000002</x:v>
      </x:c>
      <x:c r="K67" s="16" t="n">
        <x:f>J67*TAN(ACOS(G67))</x:f>
        <x:v>0.3405031793160032</x:v>
      </x:c>
      <x:c r="L67" s="16" t="n">
        <x:f>SQRT(J67^2+K67^2)</x:f>
        <x:v>1.7110928571428572</x:v>
      </x:c>
      <x:c r="M67" s="16" t="str">
        <x:v>Single Phase</x:v>
      </x:c>
      <x:c r="N67" s="16" t="str">
        <x:v>R</x:v>
      </x:c>
      <x:c r="O67" s="16" t="str">
        <x:v>No</x:v>
      </x:c>
      <x:c r="P67" s="16" t="n">
        <x:v>0</x:v>
      </x:c>
      <x:c r="Q67" s="16" t="n">
        <x:v>0.387</x:v>
      </x:c>
      <x:c r="R67" s="16" t="n">
        <x:v>0</x:v>
      </x:c>
      <x:c r="S67" s="16" t="n">
        <x:f>F67*Q67</x:f>
        <x:v>0.8384355000000001</x:v>
      </x:c>
      <x:c r="T67" s="16" t="n">
        <x:f>IF(O67="Yes",P67*R67,0)</x:f>
        <x:v>0</x:v>
      </x:c>
      <x:c r="U67" s="16" t="n">
        <x:f>S67-T67</x:f>
        <x:v>0.8384355000000001</x:v>
      </x:c>
      <x:c r="V67" s="16" t="n">
        <x:f>S67*TAN(ACOS(G67))</x:f>
        <x:v>0.1702515896580016</x:v>
      </x:c>
      <x:c r="W67" s="16" t="n">
        <x:f>SQRT(U67^2+V67^2)</x:f>
        <x:v>0.8555464285714286</x:v>
      </x:c>
      <x:c r="X67" s="13" t="str">
        <x:v>No</x:v>
      </x:c>
      <x:c r="Y67" s="13" t="str"/>
      <x:c r="Z67" s="18" t="str"/>
      <x:c r="AA67" s="13" t="str"/>
      <x:c r="AB67" s="18" t="str"/>
      <x:c r="AC67" s="13" t="str">
        <x:v>Yes</x:v>
      </x:c>
      <x:c r="AD67" s="16" t="n">
        <x:f>IF(M67="Three Phase",J67/3,IF(N67="R",J67,0))</x:f>
        <x:v>1.6768710000000002</x:v>
      </x:c>
      <x:c r="AE67" s="16" t="n">
        <x:f>IF(M67="Three Phase",K67/3,IF(N67="R",K67,0))</x:f>
        <x:v>0.3405031793160032</x:v>
      </x:c>
      <x:c r="AF67" s="16" t="n">
        <x:f>IF(M67="Three Phase",J67/3,IF(N67="Y",J67,0))</x:f>
        <x:v>0</x:v>
      </x:c>
      <x:c r="AG67" s="16" t="n">
        <x:f>IF(M67="Three Phase",K67/3,IF(N67="Y",K67,0))</x:f>
        <x:v>0</x:v>
      </x:c>
      <x:c r="AH67" s="16" t="n">
        <x:f>IF(M67="Three Phase",J67/3,IF(N67="B",J67,0))</x:f>
        <x:v>0</x:v>
      </x:c>
      <x:c r="AI67" s="16" t="n">
        <x:f>IF(M67="Three Phase",K67/3,IF(N67="B",K67,0))</x:f>
        <x:v>0</x:v>
      </x:c>
      <x:c r="AJ67" s="16" t="n">
        <x:f>IF(M67="Three Phase",U67/3,IF(N67="R",U67,0))</x:f>
        <x:v>0.8384355000000001</x:v>
      </x:c>
      <x:c r="AK67" s="16" t="n">
        <x:f>IF(M67="Three Phase",V67/3,IF(N67="R",V67,0))</x:f>
        <x:v>0.1702515896580016</x:v>
      </x:c>
      <x:c r="AL67" s="16" t="n">
        <x:f>IF(M67="Three Phase",U67/3,IF(N67="Y",U67,0))</x:f>
        <x:v>0</x:v>
      </x:c>
      <x:c r="AM67" s="16" t="n">
        <x:f>IF(M67="Three Phase",V67/3,IF(N67="Y",V67,0))</x:f>
        <x:v>0</x:v>
      </x:c>
      <x:c r="AN67" s="16" t="n">
        <x:f>IF(M67="Three Phase",U67/3,IF(N67="B",U67,0))</x:f>
        <x:v>0</x:v>
      </x:c>
      <x:c r="AO67" s="16" t="n">
        <x:f>IF(M67="Three Phase",V67/3,IF(N67="B",V67,0))</x:f>
        <x:v>0</x:v>
      </x:c>
    </x:row>
    <x:row r="68">
      <x:c r="A68" s="13" t="str">
        <x:v>C0067</x:v>
      </x:c>
      <x:c r="B68" s="13" t="str">
        <x:v>DT-5</x:v>
      </x:c>
      <x:c r="C68" s="13" t="str">
        <x:v>Residential</x:v>
      </x:c>
      <x:c r="D68" s="16" t="n">
        <x:v>6</x:v>
      </x:c>
      <x:c r="E68" s="16" t="n">
        <x:v>0.545</x:v>
      </x:c>
      <x:c r="F68" s="16" t="n">
        <x:f>D68*E68</x:f>
        <x:v>3.2700000000000005</x:v>
      </x:c>
      <x:c r="G68" s="16" t="n">
        <x:v>0.931</x:v>
      </x:c>
      <x:c r="H68" s="16" t="n">
        <x:f>F68/G68</x:f>
        <x:v>3.512352309344791</x:v>
      </x:c>
      <x:c r="I68" s="16" t="n">
        <x:v>0.736</x:v>
      </x:c>
      <x:c r="J68" s="16" t="n">
        <x:f>F68*I68</x:f>
        <x:v>2.4067200000000004</x:v>
      </x:c>
      <x:c r="K68" s="16" t="n">
        <x:f>J68*TAN(ACOS(G68))</x:f>
        <x:v>0.9436079001734143</x:v>
      </x:c>
      <x:c r="L68" s="16" t="n">
        <x:f>SQRT(J68^2+K68^2)</x:f>
        <x:v>2.585091299677766</x:v>
      </x:c>
      <x:c r="M68" s="16" t="str">
        <x:v>Single Phase</x:v>
      </x:c>
      <x:c r="N68" s="16" t="str">
        <x:v>R</x:v>
      </x:c>
      <x:c r="O68" s="16" t="str">
        <x:v>Yes</x:v>
      </x:c>
      <x:c r="P68" s="16" t="n">
        <x:v>5</x:v>
      </x:c>
      <x:c r="Q68" s="16" t="n">
        <x:v>0.302</x:v>
      </x:c>
      <x:c r="R68" s="16" t="n">
        <x:v>0.76</x:v>
      </x:c>
      <x:c r="S68" s="16" t="n">
        <x:f>F68*Q68</x:f>
        <x:v>0.9875400000000001</x:v>
      </x:c>
      <x:c r="T68" s="16" t="n">
        <x:f>IF(O68="Yes",P68*R68,0)</x:f>
        <x:v>3.8</x:v>
      </x:c>
      <x:c r="U68" s="16" t="n">
        <x:f>S68-T68</x:f>
        <x:v>-2.8124599999999997</x:v>
      </x:c>
      <x:c r="V68" s="16" t="n">
        <x:f>S68*TAN(ACOS(G68))</x:f>
        <x:v>0.3871869372994172</x:v>
      </x:c>
      <x:c r="W68" s="16" t="n">
        <x:f>SQRT(U68^2+V68^2)</x:f>
        <x:v>2.838986610749565</x:v>
      </x:c>
      <x:c r="X68" s="13" t="str">
        <x:v>Yes</x:v>
      </x:c>
      <x:c r="Y68" s="13" t="str">
        <x:v>DT-2</x:v>
      </x:c>
      <x:c r="Z68" s="18" t="n">
        <x:v>113</x:v>
      </x:c>
      <x:c r="AA68" s="13" t="str"/>
      <x:c r="AB68" s="18" t="str"/>
      <x:c r="AC68" s="13" t="str">
        <x:v>No</x:v>
      </x:c>
      <x:c r="AD68" s="16" t="n">
        <x:f>IF(M68="Three Phase",J68/3,IF(N68="R",J68,0))</x:f>
        <x:v>2.4067200000000004</x:v>
      </x:c>
      <x:c r="AE68" s="16" t="n">
        <x:f>IF(M68="Three Phase",K68/3,IF(N68="R",K68,0))</x:f>
        <x:v>0.9436079001734143</x:v>
      </x:c>
      <x:c r="AF68" s="16" t="n">
        <x:f>IF(M68="Three Phase",J68/3,IF(N68="Y",J68,0))</x:f>
        <x:v>0</x:v>
      </x:c>
      <x:c r="AG68" s="16" t="n">
        <x:f>IF(M68="Three Phase",K68/3,IF(N68="Y",K68,0))</x:f>
        <x:v>0</x:v>
      </x:c>
      <x:c r="AH68" s="16" t="n">
        <x:f>IF(M68="Three Phase",J68/3,IF(N68="B",J68,0))</x:f>
        <x:v>0</x:v>
      </x:c>
      <x:c r="AI68" s="16" t="n">
        <x:f>IF(M68="Three Phase",K68/3,IF(N68="B",K68,0))</x:f>
        <x:v>0</x:v>
      </x:c>
      <x:c r="AJ68" s="16" t="n">
        <x:f>IF(M68="Three Phase",U68/3,IF(N68="R",U68,0))</x:f>
        <x:v>-2.8124599999999997</x:v>
      </x:c>
      <x:c r="AK68" s="16" t="n">
        <x:f>IF(M68="Three Phase",V68/3,IF(N68="R",V68,0))</x:f>
        <x:v>0.3871869372994172</x:v>
      </x:c>
      <x:c r="AL68" s="16" t="n">
        <x:f>IF(M68="Three Phase",U68/3,IF(N68="Y",U68,0))</x:f>
        <x:v>0</x:v>
      </x:c>
      <x:c r="AM68" s="16" t="n">
        <x:f>IF(M68="Three Phase",V68/3,IF(N68="Y",V68,0))</x:f>
        <x:v>0</x:v>
      </x:c>
      <x:c r="AN68" s="16" t="n">
        <x:f>IF(M68="Three Phase",U68/3,IF(N68="B",U68,0))</x:f>
        <x:v>0</x:v>
      </x:c>
      <x:c r="AO68" s="16" t="n">
        <x:f>IF(M68="Three Phase",V68/3,IF(N68="B",V68,0))</x:f>
        <x:v>0</x:v>
      </x:c>
    </x:row>
    <x:row r="69">
      <x:c r="A69" s="13" t="str">
        <x:v>C0068</x:v>
      </x:c>
      <x:c r="B69" s="13" t="str">
        <x:v>DT-5</x:v>
      </x:c>
      <x:c r="C69" s="13" t="str">
        <x:v>Residential</x:v>
      </x:c>
      <x:c r="D69" s="16" t="n">
        <x:v>3</x:v>
      </x:c>
      <x:c r="E69" s="16" t="n">
        <x:v>0.613</x:v>
      </x:c>
      <x:c r="F69" s="16" t="n">
        <x:f>D69*E69</x:f>
        <x:v>1.839</x:v>
      </x:c>
      <x:c r="G69" s="16" t="n">
        <x:v>0.983</x:v>
      </x:c>
      <x:c r="H69" s="16" t="n">
        <x:f>F69/G69</x:f>
        <x:v>1.8708036622583926</x:v>
      </x:c>
      <x:c r="I69" s="16" t="n">
        <x:v>0.749</x:v>
      </x:c>
      <x:c r="J69" s="16" t="n">
        <x:f>F69*I69</x:f>
        <x:v>1.377411</x:v>
      </x:c>
      <x:c r="K69" s="16" t="n">
        <x:f>J69*TAN(ACOS(G69))</x:f>
        <x:v>0.25727396924472196</x:v>
      </x:c>
      <x:c r="L69" s="16" t="n">
        <x:f>SQRT(J69^2+K69^2)</x:f>
        <x:v>1.401231943031536</x:v>
      </x:c>
      <x:c r="M69" s="16" t="str">
        <x:v>Single Phase</x:v>
      </x:c>
      <x:c r="N69" s="16" t="str">
        <x:v>B</x:v>
      </x:c>
      <x:c r="O69" s="16" t="str">
        <x:v>No</x:v>
      </x:c>
      <x:c r="P69" s="16" t="n">
        <x:v>0</x:v>
      </x:c>
      <x:c r="Q69" s="16" t="n">
        <x:v>0.305</x:v>
      </x:c>
      <x:c r="R69" s="16" t="n">
        <x:v>0</x:v>
      </x:c>
      <x:c r="S69" s="16" t="n">
        <x:f>F69*Q69</x:f>
        <x:v>0.560895</x:v>
      </x:c>
      <x:c r="T69" s="16" t="n">
        <x:f>IF(O69="Yes",P69*R69,0)</x:f>
        <x:v>0</x:v>
      </x:c>
      <x:c r="U69" s="16" t="n">
        <x:f>S69-T69</x:f>
        <x:v>0.560895</x:v>
      </x:c>
      <x:c r="V69" s="16" t="n">
        <x:f>S69*TAN(ACOS(G69))</x:f>
        <x:v>0.10476443340405901</x:v>
      </x:c>
      <x:c r="W69" s="16" t="n">
        <x:f>SQRT(U69^2+V69^2)</x:f>
        <x:v>0.5705951169888098</x:v>
      </x:c>
      <x:c r="X69" s="13" t="str">
        <x:v>No</x:v>
      </x:c>
      <x:c r="Y69" s="13" t="str"/>
      <x:c r="Z69" s="18" t="str"/>
      <x:c r="AA69" s="13" t="str"/>
      <x:c r="AB69" s="18" t="str"/>
      <x:c r="AC69" s="13" t="str">
        <x:v>Yes</x:v>
      </x:c>
      <x:c r="AD69" s="16" t="n">
        <x:f>IF(M69="Three Phase",J69/3,IF(N69="R",J69,0))</x:f>
        <x:v>0</x:v>
      </x:c>
      <x:c r="AE69" s="16" t="n">
        <x:f>IF(M69="Three Phase",K69/3,IF(N69="R",K69,0))</x:f>
        <x:v>0</x:v>
      </x:c>
      <x:c r="AF69" s="16" t="n">
        <x:f>IF(M69="Three Phase",J69/3,IF(N69="Y",J69,0))</x:f>
        <x:v>0</x:v>
      </x:c>
      <x:c r="AG69" s="16" t="n">
        <x:f>IF(M69="Three Phase",K69/3,IF(N69="Y",K69,0))</x:f>
        <x:v>0</x:v>
      </x:c>
      <x:c r="AH69" s="16" t="n">
        <x:f>IF(M69="Three Phase",J69/3,IF(N69="B",J69,0))</x:f>
        <x:v>1.377411</x:v>
      </x:c>
      <x:c r="AI69" s="16" t="n">
        <x:f>IF(M69="Three Phase",K69/3,IF(N69="B",K69,0))</x:f>
        <x:v>0.25727396924472196</x:v>
      </x:c>
      <x:c r="AJ69" s="16" t="n">
        <x:f>IF(M69="Three Phase",U69/3,IF(N69="R",U69,0))</x:f>
        <x:v>0</x:v>
      </x:c>
      <x:c r="AK69" s="16" t="n">
        <x:f>IF(M69="Three Phase",V69/3,IF(N69="R",V69,0))</x:f>
        <x:v>0</x:v>
      </x:c>
      <x:c r="AL69" s="16" t="n">
        <x:f>IF(M69="Three Phase",U69/3,IF(N69="Y",U69,0))</x:f>
        <x:v>0</x:v>
      </x:c>
      <x:c r="AM69" s="16" t="n">
        <x:f>IF(M69="Three Phase",V69/3,IF(N69="Y",V69,0))</x:f>
        <x:v>0</x:v>
      </x:c>
      <x:c r="AN69" s="16" t="n">
        <x:f>IF(M69="Three Phase",U69/3,IF(N69="B",U69,0))</x:f>
        <x:v>0.560895</x:v>
      </x:c>
      <x:c r="AO69" s="16" t="n">
        <x:f>IF(M69="Three Phase",V69/3,IF(N69="B",V69,0))</x:f>
        <x:v>0.10476443340405901</x:v>
      </x:c>
    </x:row>
    <x:row r="70">
      <x:c r="A70" s="13" t="str">
        <x:v>C0069</x:v>
      </x:c>
      <x:c r="B70" s="13" t="str">
        <x:v>DT-5</x:v>
      </x:c>
      <x:c r="C70" s="13" t="str">
        <x:v>Residential</x:v>
      </x:c>
      <x:c r="D70" s="16" t="n">
        <x:v>4</x:v>
      </x:c>
      <x:c r="E70" s="16" t="n">
        <x:v>0.418</x:v>
      </x:c>
      <x:c r="F70" s="16" t="n">
        <x:f>D70*E70</x:f>
        <x:v>1.672</x:v>
      </x:c>
      <x:c r="G70" s="16" t="n">
        <x:v>0.972</x:v>
      </x:c>
      <x:c r="H70" s="16" t="n">
        <x:f>F70/G70</x:f>
        <x:v>1.7201646090534979</x:v>
      </x:c>
      <x:c r="I70" s="16" t="n">
        <x:v>0.98</x:v>
      </x:c>
      <x:c r="J70" s="16" t="n">
        <x:f>F70*I70</x:f>
        <x:v>1.6385599999999998</x:v>
      </x:c>
      <x:c r="K70" s="16" t="n">
        <x:f>J70*TAN(ACOS(G70))</x:f>
        <x:v>0.39612162761387143</x:v>
      </x:c>
      <x:c r="L70" s="16" t="n">
        <x:f>SQRT(J70^2+K70^2)</x:f>
        <x:v>1.685761316872428</x:v>
      </x:c>
      <x:c r="M70" s="16" t="str">
        <x:v>Single Phase</x:v>
      </x:c>
      <x:c r="N70" s="16" t="str">
        <x:v>R</x:v>
      </x:c>
      <x:c r="O70" s="16" t="str">
        <x:v>No</x:v>
      </x:c>
      <x:c r="P70" s="16" t="n">
        <x:v>0</x:v>
      </x:c>
      <x:c r="Q70" s="16" t="n">
        <x:v>0.424</x:v>
      </x:c>
      <x:c r="R70" s="16" t="n">
        <x:v>0</x:v>
      </x:c>
      <x:c r="S70" s="16" t="n">
        <x:f>F70*Q70</x:f>
        <x:v>0.708928</x:v>
      </x:c>
      <x:c r="T70" s="16" t="n">
        <x:f>IF(O70="Yes",P70*R70,0)</x:f>
        <x:v>0</x:v>
      </x:c>
      <x:c r="U70" s="16" t="n">
        <x:f>S70-T70</x:f>
        <x:v>0.708928</x:v>
      </x:c>
      <x:c r="V70" s="16" t="n">
        <x:f>S70*TAN(ACOS(G70))</x:f>
        <x:v>0.1713832348043689</x:v>
      </x:c>
      <x:c r="W70" s="16" t="n">
        <x:f>SQRT(U70^2+V70^2)</x:f>
        <x:v>0.7293497942386832</x:v>
      </x:c>
      <x:c r="X70" s="13" t="str">
        <x:v>Yes</x:v>
      </x:c>
      <x:c r="Y70" s="13" t="str">
        <x:v>DT-7</x:v>
      </x:c>
      <x:c r="Z70" s="18" t="n">
        <x:v>80</x:v>
      </x:c>
      <x:c r="AA70" s="13" t="str">
        <x:v>DT-4</x:v>
      </x:c>
      <x:c r="AB70" s="18" t="n">
        <x:v>114</x:v>
      </x:c>
      <x:c r="AC70" s="13" t="str">
        <x:v>No</x:v>
      </x:c>
      <x:c r="AD70" s="16" t="n">
        <x:f>IF(M70="Three Phase",J70/3,IF(N70="R",J70,0))</x:f>
        <x:v>1.6385599999999998</x:v>
      </x:c>
      <x:c r="AE70" s="16" t="n">
        <x:f>IF(M70="Three Phase",K70/3,IF(N70="R",K70,0))</x:f>
        <x:v>0.39612162761387143</x:v>
      </x:c>
      <x:c r="AF70" s="16" t="n">
        <x:f>IF(M70="Three Phase",J70/3,IF(N70="Y",J70,0))</x:f>
        <x:v>0</x:v>
      </x:c>
      <x:c r="AG70" s="16" t="n">
        <x:f>IF(M70="Three Phase",K70/3,IF(N70="Y",K70,0))</x:f>
        <x:v>0</x:v>
      </x:c>
      <x:c r="AH70" s="16" t="n">
        <x:f>IF(M70="Three Phase",J70/3,IF(N70="B",J70,0))</x:f>
        <x:v>0</x:v>
      </x:c>
      <x:c r="AI70" s="16" t="n">
        <x:f>IF(M70="Three Phase",K70/3,IF(N70="B",K70,0))</x:f>
        <x:v>0</x:v>
      </x:c>
      <x:c r="AJ70" s="16" t="n">
        <x:f>IF(M70="Three Phase",U70/3,IF(N70="R",U70,0))</x:f>
        <x:v>0.708928</x:v>
      </x:c>
      <x:c r="AK70" s="16" t="n">
        <x:f>IF(M70="Three Phase",V70/3,IF(N70="R",V70,0))</x:f>
        <x:v>0.1713832348043689</x:v>
      </x:c>
      <x:c r="AL70" s="16" t="n">
        <x:f>IF(M70="Three Phase",U70/3,IF(N70="Y",U70,0))</x:f>
        <x:v>0</x:v>
      </x:c>
      <x:c r="AM70" s="16" t="n">
        <x:f>IF(M70="Three Phase",V70/3,IF(N70="Y",V70,0))</x:f>
        <x:v>0</x:v>
      </x:c>
      <x:c r="AN70" s="16" t="n">
        <x:f>IF(M70="Three Phase",U70/3,IF(N70="B",U70,0))</x:f>
        <x:v>0</x:v>
      </x:c>
      <x:c r="AO70" s="16" t="n">
        <x:f>IF(M70="Three Phase",V70/3,IF(N70="B",V70,0))</x:f>
        <x:v>0</x:v>
      </x:c>
    </x:row>
    <x:row r="71">
      <x:c r="A71" s="13" t="str">
        <x:v>C0070</x:v>
      </x:c>
      <x:c r="B71" s="13" t="str">
        <x:v>DT-5</x:v>
      </x:c>
      <x:c r="C71" s="13" t="str">
        <x:v>Commercial</x:v>
      </x:c>
      <x:c r="D71" s="16" t="n">
        <x:v>13</x:v>
      </x:c>
      <x:c r="E71" s="16" t="n">
        <x:v>0.865</x:v>
      </x:c>
      <x:c r="F71" s="16" t="n">
        <x:f>D71*E71</x:f>
        <x:v>11.245</x:v>
      </x:c>
      <x:c r="G71" s="16" t="n">
        <x:v>0.938</x:v>
      </x:c>
      <x:c r="H71" s="16" t="n">
        <x:f>F71/G71</x:f>
        <x:v>11.988272921108742</x:v>
      </x:c>
      <x:c r="I71" s="16" t="n">
        <x:v>0.747</x:v>
      </x:c>
      <x:c r="J71" s="16" t="n">
        <x:f>F71*I71</x:f>
        <x:v>8.400015</x:v>
      </x:c>
      <x:c r="K71" s="16" t="n">
        <x:f>J71*TAN(ACOS(G71))</x:f>
        <x:v>3.104201856525381</x:v>
      </x:c>
      <x:c r="L71" s="16" t="n">
        <x:f>SQRT(J71^2+K71^2)</x:f>
        <x:v>8.95523987206823</x:v>
      </x:c>
      <x:c r="M71" s="16" t="str">
        <x:v>Three Phase</x:v>
      </x:c>
      <x:c r="N71" s="16" t="str">
        <x:v>RYB</x:v>
      </x:c>
      <x:c r="O71" s="16" t="str">
        <x:v>Yes</x:v>
      </x:c>
      <x:c r="P71" s="16" t="n">
        <x:v>8.5</x:v>
      </x:c>
      <x:c r="Q71" s="16" t="n">
        <x:v>0.496</x:v>
      </x:c>
      <x:c r="R71" s="16" t="n">
        <x:v>0.836</x:v>
      </x:c>
      <x:c r="S71" s="16" t="n">
        <x:f>F71*Q71</x:f>
        <x:v>5.57752</x:v>
      </x:c>
      <x:c r="T71" s="16" t="n">
        <x:f>IF(O71="Yes",P71*R71,0)</x:f>
        <x:v>7.106</x:v>
      </x:c>
      <x:c r="U71" s="16" t="n">
        <x:f>S71-T71</x:f>
        <x:v>-1.52848</x:v>
      </x:c>
      <x:c r="V71" s="16" t="n">
        <x:f>S71*TAN(ACOS(G71))</x:f>
        <x:v>2.061156788268526</x:v>
      </x:c>
      <x:c r="W71" s="16" t="n">
        <x:f>SQRT(U71^2+V71^2)</x:f>
        <x:v>2.566051132815834</x:v>
      </x:c>
      <x:c r="X71" s="13" t="str">
        <x:v>No</x:v>
      </x:c>
      <x:c r="Y71" s="13" t="str"/>
      <x:c r="Z71" s="18" t="str"/>
      <x:c r="AA71" s="13" t="str"/>
      <x:c r="AB71" s="18" t="str"/>
      <x:c r="AC71" s="13" t="str">
        <x:v>No</x:v>
      </x:c>
      <x:c r="AD71" s="16" t="n">
        <x:f>IF(M71="Three Phase",J71/3,IF(N71="R",J71,0))</x:f>
        <x:v>2.800005</x:v>
      </x:c>
      <x:c r="AE71" s="16" t="n">
        <x:f>IF(M71="Three Phase",K71/3,IF(N71="R",K71,0))</x:f>
        <x:v>1.034733952175127</x:v>
      </x:c>
      <x:c r="AF71" s="16" t="n">
        <x:f>IF(M71="Three Phase",J71/3,IF(N71="Y",J71,0))</x:f>
        <x:v>2.800005</x:v>
      </x:c>
      <x:c r="AG71" s="16" t="n">
        <x:f>IF(M71="Three Phase",K71/3,IF(N71="Y",K71,0))</x:f>
        <x:v>1.034733952175127</x:v>
      </x:c>
      <x:c r="AH71" s="16" t="n">
        <x:f>IF(M71="Three Phase",J71/3,IF(N71="B",J71,0))</x:f>
        <x:v>2.800005</x:v>
      </x:c>
      <x:c r="AI71" s="16" t="n">
        <x:f>IF(M71="Three Phase",K71/3,IF(N71="B",K71,0))</x:f>
        <x:v>1.034733952175127</x:v>
      </x:c>
      <x:c r="AJ71" s="16" t="n">
        <x:f>IF(M71="Three Phase",U71/3,IF(N71="R",U71,0))</x:f>
        <x:v>-0.5094933333333334</x:v>
      </x:c>
      <x:c r="AK71" s="16" t="n">
        <x:f>IF(M71="Three Phase",V71/3,IF(N71="R",V71,0))</x:f>
        <x:v>0.6870522627561754</x:v>
      </x:c>
      <x:c r="AL71" s="16" t="n">
        <x:f>IF(M71="Three Phase",U71/3,IF(N71="Y",U71,0))</x:f>
        <x:v>-0.5094933333333334</x:v>
      </x:c>
      <x:c r="AM71" s="16" t="n">
        <x:f>IF(M71="Three Phase",V71/3,IF(N71="Y",V71,0))</x:f>
        <x:v>0.6870522627561754</x:v>
      </x:c>
      <x:c r="AN71" s="16" t="n">
        <x:f>IF(M71="Three Phase",U71/3,IF(N71="B",U71,0))</x:f>
        <x:v>-0.5094933333333334</x:v>
      </x:c>
      <x:c r="AO71" s="16" t="n">
        <x:f>IF(M71="Three Phase",V71/3,IF(N71="B",V71,0))</x:f>
        <x:v>0.6870522627561754</x:v>
      </x:c>
    </x:row>
    <x:row r="72">
      <x:c r="A72" s="13" t="str">
        <x:v>C0071</x:v>
      </x:c>
      <x:c r="B72" s="13" t="str">
        <x:v>DT-5</x:v>
      </x:c>
      <x:c r="C72" s="13" t="str">
        <x:v>Residential</x:v>
      </x:c>
      <x:c r="D72" s="16" t="n">
        <x:v>3</x:v>
      </x:c>
      <x:c r="E72" s="16" t="n">
        <x:v>0.729</x:v>
      </x:c>
      <x:c r="F72" s="16" t="n">
        <x:f>D72*E72</x:f>
        <x:v>2.187</x:v>
      </x:c>
      <x:c r="G72" s="16" t="n">
        <x:v>0.911</x:v>
      </x:c>
      <x:c r="H72" s="16" t="n">
        <x:f>F72/G72</x:f>
        <x:v>2.4006586169045003</x:v>
      </x:c>
      <x:c r="I72" s="16" t="n">
        <x:v>0.72</x:v>
      </x:c>
      <x:c r="J72" s="16" t="n">
        <x:f>F72*I72</x:f>
        <x:v>1.5746399999999998</x:v>
      </x:c>
      <x:c r="K72" s="16" t="n">
        <x:f>J72*TAN(ACOS(G72))</x:f>
        <x:v>0.712833742807818</x:v>
      </x:c>
      <x:c r="L72" s="16" t="n">
        <x:f>SQRT(J72^2+K72^2)</x:f>
        <x:v>1.7284742041712402</x:v>
      </x:c>
      <x:c r="M72" s="16" t="str">
        <x:v>Single Phase</x:v>
      </x:c>
      <x:c r="N72" s="16" t="str">
        <x:v>B</x:v>
      </x:c>
      <x:c r="O72" s="16" t="str">
        <x:v>No</x:v>
      </x:c>
      <x:c r="P72" s="16" t="n">
        <x:v>0</x:v>
      </x:c>
      <x:c r="Q72" s="16" t="n">
        <x:v>0.396</x:v>
      </x:c>
      <x:c r="R72" s="16" t="n">
        <x:v>0</x:v>
      </x:c>
      <x:c r="S72" s="16" t="n">
        <x:f>F72*Q72</x:f>
        <x:v>0.8660519999999999</x:v>
      </x:c>
      <x:c r="T72" s="16" t="n">
        <x:f>IF(O72="Yes",P72*R72,0)</x:f>
        <x:v>0</x:v>
      </x:c>
      <x:c r="U72" s="16" t="n">
        <x:f>S72-T72</x:f>
        <x:v>0.8660519999999999</x:v>
      </x:c>
      <x:c r="V72" s="16" t="n">
        <x:f>S72*TAN(ACOS(G72))</x:f>
        <x:v>0.3920585585442999</x:v>
      </x:c>
      <x:c r="W72" s="16" t="n">
        <x:f>SQRT(U72^2+V72^2)</x:f>
        <x:v>0.9506608122941821</x:v>
      </x:c>
      <x:c r="X72" s="13" t="str">
        <x:v>Yes</x:v>
      </x:c>
      <x:c r="Y72" s="13" t="str">
        <x:v>DT-4</x:v>
      </x:c>
      <x:c r="Z72" s="18" t="n">
        <x:v>126</x:v>
      </x:c>
      <x:c r="AA72" s="13" t="str">
        <x:v>DT-7</x:v>
      </x:c>
      <x:c r="AB72" s="18" t="n">
        <x:v>60</x:v>
      </x:c>
      <x:c r="AC72" s="13" t="str">
        <x:v>No</x:v>
      </x:c>
      <x:c r="AD72" s="16" t="n">
        <x:f>IF(M72="Three Phase",J72/3,IF(N72="R",J72,0))</x:f>
        <x:v>0</x:v>
      </x:c>
      <x:c r="AE72" s="16" t="n">
        <x:f>IF(M72="Three Phase",K72/3,IF(N72="R",K72,0))</x:f>
        <x:v>0</x:v>
      </x:c>
      <x:c r="AF72" s="16" t="n">
        <x:f>IF(M72="Three Phase",J72/3,IF(N72="Y",J72,0))</x:f>
        <x:v>0</x:v>
      </x:c>
      <x:c r="AG72" s="16" t="n">
        <x:f>IF(M72="Three Phase",K72/3,IF(N72="Y",K72,0))</x:f>
        <x:v>0</x:v>
      </x:c>
      <x:c r="AH72" s="16" t="n">
        <x:f>IF(M72="Three Phase",J72/3,IF(N72="B",J72,0))</x:f>
        <x:v>1.5746399999999998</x:v>
      </x:c>
      <x:c r="AI72" s="16" t="n">
        <x:f>IF(M72="Three Phase",K72/3,IF(N72="B",K72,0))</x:f>
        <x:v>0.712833742807818</x:v>
      </x:c>
      <x:c r="AJ72" s="16" t="n">
        <x:f>IF(M72="Three Phase",U72/3,IF(N72="R",U72,0))</x:f>
        <x:v>0</x:v>
      </x:c>
      <x:c r="AK72" s="16" t="n">
        <x:f>IF(M72="Three Phase",V72/3,IF(N72="R",V72,0))</x:f>
        <x:v>0</x:v>
      </x:c>
      <x:c r="AL72" s="16" t="n">
        <x:f>IF(M72="Three Phase",U72/3,IF(N72="Y",U72,0))</x:f>
        <x:v>0</x:v>
      </x:c>
      <x:c r="AM72" s="16" t="n">
        <x:f>IF(M72="Three Phase",V72/3,IF(N72="Y",V72,0))</x:f>
        <x:v>0</x:v>
      </x:c>
      <x:c r="AN72" s="16" t="n">
        <x:f>IF(M72="Three Phase",U72/3,IF(N72="B",U72,0))</x:f>
        <x:v>0.8660519999999999</x:v>
      </x:c>
      <x:c r="AO72" s="16" t="n">
        <x:f>IF(M72="Three Phase",V72/3,IF(N72="B",V72,0))</x:f>
        <x:v>0.3920585585442999</x:v>
      </x:c>
    </x:row>
    <x:row r="73">
      <x:c r="A73" s="13" t="str">
        <x:v>C0072</x:v>
      </x:c>
      <x:c r="B73" s="13" t="str">
        <x:v>DT-5</x:v>
      </x:c>
      <x:c r="C73" s="13" t="str">
        <x:v>Industrial</x:v>
      </x:c>
      <x:c r="D73" s="16" t="n">
        <x:v>18</x:v>
      </x:c>
      <x:c r="E73" s="16" t="n">
        <x:v>0.843</x:v>
      </x:c>
      <x:c r="F73" s="16" t="n">
        <x:f>D73*E73</x:f>
        <x:v>15.174</x:v>
      </x:c>
      <x:c r="G73" s="16" t="n">
        <x:v>0.93</x:v>
      </x:c>
      <x:c r="H73" s="16" t="n">
        <x:f>F73/G73</x:f>
        <x:v>16.316129032258065</x:v>
      </x:c>
      <x:c r="I73" s="16" t="n">
        <x:v>0.929</x:v>
      </x:c>
      <x:c r="J73" s="16" t="n">
        <x:f>F73*I73</x:f>
        <x:v>14.096646</x:v>
      </x:c>
      <x:c r="K73" s="16" t="n">
        <x:f>J73*TAN(ACOS(G73))</x:f>
        <x:v>5.5713509926120794</x:v>
      </x:c>
      <x:c r="L73" s="16" t="n">
        <x:f>SQRT(J73^2+K73^2)</x:f>
        <x:v>15.157683870967741</x:v>
      </x:c>
      <x:c r="M73" s="16" t="str">
        <x:v>Three Phase</x:v>
      </x:c>
      <x:c r="N73" s="16" t="str">
        <x:v>RYB</x:v>
      </x:c>
      <x:c r="O73" s="16" t="str">
        <x:v>No</x:v>
      </x:c>
      <x:c r="P73" s="16" t="n">
        <x:v>0</x:v>
      </x:c>
      <x:c r="Q73" s="16" t="n">
        <x:v>0.89</x:v>
      </x:c>
      <x:c r="R73" s="16" t="n">
        <x:v>0</x:v>
      </x:c>
      <x:c r="S73" s="16" t="n">
        <x:f>F73*Q73</x:f>
        <x:v>13.504859999999999</x:v>
      </x:c>
      <x:c r="T73" s="16" t="n">
        <x:f>IF(O73="Yes",P73*R73,0)</x:f>
        <x:v>0</x:v>
      </x:c>
      <x:c r="U73" s="16" t="n">
        <x:f>S73-T73</x:f>
        <x:v>13.504859999999999</x:v>
      </x:c>
      <x:c r="V73" s="16" t="n">
        <x:f>S73*TAN(ACOS(G73))</x:f>
        <x:v>5.337462199596072</x:v>
      </x:c>
      <x:c r="W73" s="16" t="n">
        <x:f>SQRT(U73^2+V73^2)</x:f>
        <x:v>14.521354838709676</x:v>
      </x:c>
      <x:c r="X73" s="13" t="str">
        <x:v>No</x:v>
      </x:c>
      <x:c r="Y73" s="13" t="str"/>
      <x:c r="Z73" s="18" t="str"/>
      <x:c r="AA73" s="13" t="str"/>
      <x:c r="AB73" s="18" t="str"/>
      <x:c r="AC73" s="13" t="str">
        <x:v>No</x:v>
      </x:c>
      <x:c r="AD73" s="16" t="n">
        <x:f>IF(M73="Three Phase",J73/3,IF(N73="R",J73,0))</x:f>
        <x:v>4.698882</x:v>
      </x:c>
      <x:c r="AE73" s="16" t="n">
        <x:f>IF(M73="Three Phase",K73/3,IF(N73="R",K73,0))</x:f>
        <x:v>1.8571169975373598</x:v>
      </x:c>
      <x:c r="AF73" s="16" t="n">
        <x:f>IF(M73="Three Phase",J73/3,IF(N73="Y",J73,0))</x:f>
        <x:v>4.698882</x:v>
      </x:c>
      <x:c r="AG73" s="16" t="n">
        <x:f>IF(M73="Three Phase",K73/3,IF(N73="Y",K73,0))</x:f>
        <x:v>1.8571169975373598</x:v>
      </x:c>
      <x:c r="AH73" s="16" t="n">
        <x:f>IF(M73="Three Phase",J73/3,IF(N73="B",J73,0))</x:f>
        <x:v>4.698882</x:v>
      </x:c>
      <x:c r="AI73" s="16" t="n">
        <x:f>IF(M73="Three Phase",K73/3,IF(N73="B",K73,0))</x:f>
        <x:v>1.8571169975373598</x:v>
      </x:c>
      <x:c r="AJ73" s="16" t="n">
        <x:f>IF(M73="Three Phase",U73/3,IF(N73="R",U73,0))</x:f>
        <x:v>4.50162</x:v>
      </x:c>
      <x:c r="AK73" s="16" t="n">
        <x:f>IF(M73="Three Phase",V73/3,IF(N73="R",V73,0))</x:f>
        <x:v>1.7791540665320238</x:v>
      </x:c>
      <x:c r="AL73" s="16" t="n">
        <x:f>IF(M73="Three Phase",U73/3,IF(N73="Y",U73,0))</x:f>
        <x:v>4.50162</x:v>
      </x:c>
      <x:c r="AM73" s="16" t="n">
        <x:f>IF(M73="Three Phase",V73/3,IF(N73="Y",V73,0))</x:f>
        <x:v>1.7791540665320238</x:v>
      </x:c>
      <x:c r="AN73" s="16" t="n">
        <x:f>IF(M73="Three Phase",U73/3,IF(N73="B",U73,0))</x:f>
        <x:v>4.50162</x:v>
      </x:c>
      <x:c r="AO73" s="16" t="n">
        <x:f>IF(M73="Three Phase",V73/3,IF(N73="B",V73,0))</x:f>
        <x:v>1.7791540665320238</x:v>
      </x:c>
    </x:row>
    <x:row r="74">
      <x:c r="A74" s="13" t="str">
        <x:v>C0073</x:v>
      </x:c>
      <x:c r="B74" s="13" t="str">
        <x:v>DT-5</x:v>
      </x:c>
      <x:c r="C74" s="13" t="str">
        <x:v>Residential</x:v>
      </x:c>
      <x:c r="D74" s="16" t="n">
        <x:v>5</x:v>
      </x:c>
      <x:c r="E74" s="16" t="n">
        <x:v>0.771</x:v>
      </x:c>
      <x:c r="F74" s="16" t="n">
        <x:f>D74*E74</x:f>
        <x:v>3.855</x:v>
      </x:c>
      <x:c r="G74" s="16" t="n">
        <x:v>0.903</x:v>
      </x:c>
      <x:c r="H74" s="16" t="n">
        <x:f>F74/G74</x:f>
        <x:v>4.269102990033223</x:v>
      </x:c>
      <x:c r="I74" s="16" t="n">
        <x:v>0.767</x:v>
      </x:c>
      <x:c r="J74" s="16" t="n">
        <x:f>F74*I74</x:f>
        <x:v>2.956785</x:v>
      </x:c>
      <x:c r="K74" s="16" t="n">
        <x:f>J74*TAN(ACOS(G74))</x:f>
        <x:v>1.406815864946565</x:v>
      </x:c>
      <x:c r="L74" s="16" t="n">
        <x:f>SQRT(J74^2+K74^2)</x:f>
        <x:v>3.2744019933554815</x:v>
      </x:c>
      <x:c r="M74" s="16" t="str">
        <x:v>Single Phase</x:v>
      </x:c>
      <x:c r="N74" s="16" t="str">
        <x:v>Y</x:v>
      </x:c>
      <x:c r="O74" s="16" t="str">
        <x:v>Yes</x:v>
      </x:c>
      <x:c r="P74" s="16" t="n">
        <x:v>2.5</x:v>
      </x:c>
      <x:c r="Q74" s="16" t="n">
        <x:v>0.36</x:v>
      </x:c>
      <x:c r="R74" s="16" t="n">
        <x:v>0.776</x:v>
      </x:c>
      <x:c r="S74" s="16" t="n">
        <x:f>F74*Q74</x:f>
        <x:v>1.3878</x:v>
      </x:c>
      <x:c r="T74" s="16" t="n">
        <x:f>IF(O74="Yes",P74*R74,0)</x:f>
        <x:v>1.94</x:v>
      </x:c>
      <x:c r="U74" s="16" t="n">
        <x:f>S74-T74</x:f>
        <x:v>-0.5522</x:v>
      </x:c>
      <x:c r="V74" s="16" t="n">
        <x:f>S74*TAN(ACOS(G74))</x:f>
        <x:v>0.660304708449496</x:v>
      </x:c>
      <x:c r="W74" s="16" t="n">
        <x:f>SQRT(U74^2+V74^2)</x:f>
        <x:v>0.8607712518437021</x:v>
      </x:c>
      <x:c r="X74" s="13" t="str">
        <x:v>No</x:v>
      </x:c>
      <x:c r="Y74" s="13" t="str"/>
      <x:c r="Z74" s="18" t="str"/>
      <x:c r="AA74" s="13" t="str"/>
      <x:c r="AB74" s="18" t="str"/>
      <x:c r="AC74" s="13" t="str">
        <x:v>Yes</x:v>
      </x:c>
      <x:c r="AD74" s="16" t="n">
        <x:f>IF(M74="Three Phase",J74/3,IF(N74="R",J74,0))</x:f>
        <x:v>0</x:v>
      </x:c>
      <x:c r="AE74" s="16" t="n">
        <x:f>IF(M74="Three Phase",K74/3,IF(N74="R",K74,0))</x:f>
        <x:v>0</x:v>
      </x:c>
      <x:c r="AF74" s="16" t="n">
        <x:f>IF(M74="Three Phase",J74/3,IF(N74="Y",J74,0))</x:f>
        <x:v>2.956785</x:v>
      </x:c>
      <x:c r="AG74" s="16" t="n">
        <x:f>IF(M74="Three Phase",K74/3,IF(N74="Y",K74,0))</x:f>
        <x:v>1.406815864946565</x:v>
      </x:c>
      <x:c r="AH74" s="16" t="n">
        <x:f>IF(M74="Three Phase",J74/3,IF(N74="B",J74,0))</x:f>
        <x:v>0</x:v>
      </x:c>
      <x:c r="AI74" s="16" t="n">
        <x:f>IF(M74="Three Phase",K74/3,IF(N74="B",K74,0))</x:f>
        <x:v>0</x:v>
      </x:c>
      <x:c r="AJ74" s="16" t="n">
        <x:f>IF(M74="Three Phase",U74/3,IF(N74="R",U74,0))</x:f>
        <x:v>0</x:v>
      </x:c>
      <x:c r="AK74" s="16" t="n">
        <x:f>IF(M74="Three Phase",V74/3,IF(N74="R",V74,0))</x:f>
        <x:v>0</x:v>
      </x:c>
      <x:c r="AL74" s="16" t="n">
        <x:f>IF(M74="Three Phase",U74/3,IF(N74="Y",U74,0))</x:f>
        <x:v>-0.5522</x:v>
      </x:c>
      <x:c r="AM74" s="16" t="n">
        <x:f>IF(M74="Three Phase",V74/3,IF(N74="Y",V74,0))</x:f>
        <x:v>0.660304708449496</x:v>
      </x:c>
      <x:c r="AN74" s="16" t="n">
        <x:f>IF(M74="Three Phase",U74/3,IF(N74="B",U74,0))</x:f>
        <x:v>0</x:v>
      </x:c>
      <x:c r="AO74" s="16" t="n">
        <x:f>IF(M74="Three Phase",V74/3,IF(N74="B",V74,0))</x:f>
        <x:v>0</x:v>
      </x:c>
    </x:row>
    <x:row r="75">
      <x:c r="A75" s="13" t="str">
        <x:v>C0074</x:v>
      </x:c>
      <x:c r="B75" s="13" t="str">
        <x:v>DT-5</x:v>
      </x:c>
      <x:c r="C75" s="13" t="str">
        <x:v>Industrial</x:v>
      </x:c>
      <x:c r="D75" s="16" t="n">
        <x:v>17.5</x:v>
      </x:c>
      <x:c r="E75" s="16" t="n">
        <x:v>0.844</x:v>
      </x:c>
      <x:c r="F75" s="16" t="n">
        <x:f>D75*E75</x:f>
        <x:v>14.77</x:v>
      </x:c>
      <x:c r="G75" s="16" t="n">
        <x:v>0.981</x:v>
      </x:c>
      <x:c r="H75" s="16" t="n">
        <x:f>F75/G75</x:f>
        <x:v>15.056065239551478</x:v>
      </x:c>
      <x:c r="I75" s="16" t="n">
        <x:v>0.979</x:v>
      </x:c>
      <x:c r="J75" s="16" t="n">
        <x:f>F75*I75</x:f>
        <x:v>14.45983</x:v>
      </x:c>
      <x:c r="K75" s="16" t="n">
        <x:f>J75*TAN(ACOS(G75))</x:f>
        <x:v>2.859652212621195</x:v>
      </x:c>
      <x:c r="L75" s="16" t="n">
        <x:f>SQRT(J75^2+K75^2)</x:f>
        <x:v>14.739887869520897</x:v>
      </x:c>
      <x:c r="M75" s="16" t="str">
        <x:v>Three Phase</x:v>
      </x:c>
      <x:c r="N75" s="16" t="str">
        <x:v>RYB</x:v>
      </x:c>
      <x:c r="O75" s="16" t="str">
        <x:v>No</x:v>
      </x:c>
      <x:c r="P75" s="16" t="n">
        <x:v>0</x:v>
      </x:c>
      <x:c r="Q75" s="16" t="n">
        <x:v>0.816</x:v>
      </x:c>
      <x:c r="R75" s="16" t="n">
        <x:v>0</x:v>
      </x:c>
      <x:c r="S75" s="16" t="n">
        <x:f>F75*Q75</x:f>
        <x:v>12.052319999999998</x:v>
      </x:c>
      <x:c r="T75" s="16" t="n">
        <x:f>IF(O75="Yes",P75*R75,0)</x:f>
        <x:v>0</x:v>
      </x:c>
      <x:c r="U75" s="16" t="n">
        <x:f>S75-T75</x:f>
        <x:v>12.052319999999998</x:v>
      </x:c>
      <x:c r="V75" s="16" t="n">
        <x:f>S75*TAN(ACOS(G75))</x:f>
        <x:v>2.3835303426955003</x:v>
      </x:c>
      <x:c r="W75" s="16" t="n">
        <x:f>SQRT(U75^2+V75^2)</x:f>
        <x:v>12.285749235474004</x:v>
      </x:c>
      <x:c r="X75" s="13" t="str">
        <x:v>No</x:v>
      </x:c>
      <x:c r="Y75" s="13" t="str"/>
      <x:c r="Z75" s="18" t="str"/>
      <x:c r="AA75" s="13" t="str"/>
      <x:c r="AB75" s="18" t="str"/>
      <x:c r="AC75" s="13" t="str">
        <x:v>No</x:v>
      </x:c>
      <x:c r="AD75" s="16" t="n">
        <x:f>IF(M75="Three Phase",J75/3,IF(N75="R",J75,0))</x:f>
        <x:v>4.819943333333334</x:v>
      </x:c>
      <x:c r="AE75" s="16" t="n">
        <x:f>IF(M75="Three Phase",K75/3,IF(N75="R",K75,0))</x:f>
        <x:v>0.953217404207065</x:v>
      </x:c>
      <x:c r="AF75" s="16" t="n">
        <x:f>IF(M75="Three Phase",J75/3,IF(N75="Y",J75,0))</x:f>
        <x:v>4.819943333333334</x:v>
      </x:c>
      <x:c r="AG75" s="16" t="n">
        <x:f>IF(M75="Three Phase",K75/3,IF(N75="Y",K75,0))</x:f>
        <x:v>0.953217404207065</x:v>
      </x:c>
      <x:c r="AH75" s="16" t="n">
        <x:f>IF(M75="Three Phase",J75/3,IF(N75="B",J75,0))</x:f>
        <x:v>4.819943333333334</x:v>
      </x:c>
      <x:c r="AI75" s="16" t="n">
        <x:f>IF(M75="Three Phase",K75/3,IF(N75="B",K75,0))</x:f>
        <x:v>0.953217404207065</x:v>
      </x:c>
      <x:c r="AJ75" s="16" t="n">
        <x:f>IF(M75="Three Phase",U75/3,IF(N75="R",U75,0))</x:f>
        <x:v>4.01744</x:v>
      </x:c>
      <x:c r="AK75" s="16" t="n">
        <x:f>IF(M75="Three Phase",V75/3,IF(N75="R",V75,0))</x:f>
        <x:v>0.7945101142318335</x:v>
      </x:c>
      <x:c r="AL75" s="16" t="n">
        <x:f>IF(M75="Three Phase",U75/3,IF(N75="Y",U75,0))</x:f>
        <x:v>4.01744</x:v>
      </x:c>
      <x:c r="AM75" s="16" t="n">
        <x:f>IF(M75="Three Phase",V75/3,IF(N75="Y",V75,0))</x:f>
        <x:v>0.7945101142318335</x:v>
      </x:c>
      <x:c r="AN75" s="16" t="n">
        <x:f>IF(M75="Three Phase",U75/3,IF(N75="B",U75,0))</x:f>
        <x:v>4.01744</x:v>
      </x:c>
      <x:c r="AO75" s="16" t="n">
        <x:f>IF(M75="Three Phase",V75/3,IF(N75="B",V75,0))</x:f>
        <x:v>0.7945101142318335</x:v>
      </x:c>
    </x:row>
    <x:row r="76">
      <x:c r="A76" s="13" t="str">
        <x:v>C0075</x:v>
      </x:c>
      <x:c r="B76" s="13" t="str">
        <x:v>DT-5</x:v>
      </x:c>
      <x:c r="C76" s="13" t="str">
        <x:v>Residential</x:v>
      </x:c>
      <x:c r="D76" s="16" t="n">
        <x:v>3</x:v>
      </x:c>
      <x:c r="E76" s="16" t="n">
        <x:v>0.467</x:v>
      </x:c>
      <x:c r="F76" s="16" t="n">
        <x:f>D76*E76</x:f>
        <x:v>1.401</x:v>
      </x:c>
      <x:c r="G76" s="16" t="n">
        <x:v>0.941</x:v>
      </x:c>
      <x:c r="H76" s="16" t="n">
        <x:f>F76/G76</x:f>
        <x:v>1.4888416578108397</x:v>
      </x:c>
      <x:c r="I76" s="16" t="n">
        <x:v>0.756</x:v>
      </x:c>
      <x:c r="J76" s="16" t="n">
        <x:f>F76*I76</x:f>
        <x:v>1.059156</x:v>
      </x:c>
      <x:c r="K76" s="16" t="n">
        <x:f>J76*TAN(ACOS(G76))</x:f>
        <x:v>0.3808983408039109</x:v>
      </x:c>
      <x:c r="L76" s="16" t="n">
        <x:f>SQRT(J76^2+K76^2)</x:f>
        <x:v>1.1255642933049947</x:v>
      </x:c>
      <x:c r="M76" s="16" t="str">
        <x:v>Single Phase</x:v>
      </x:c>
      <x:c r="N76" s="16" t="str">
        <x:v>Y</x:v>
      </x:c>
      <x:c r="O76" s="16" t="str">
        <x:v>No</x:v>
      </x:c>
      <x:c r="P76" s="16" t="n">
        <x:v>0</x:v>
      </x:c>
      <x:c r="Q76" s="16" t="n">
        <x:v>0.445</x:v>
      </x:c>
      <x:c r="R76" s="16" t="n">
        <x:v>0</x:v>
      </x:c>
      <x:c r="S76" s="16" t="n">
        <x:f>F76*Q76</x:f>
        <x:v>0.623445</x:v>
      </x:c>
      <x:c r="T76" s="16" t="n">
        <x:f>IF(O76="Yes",P76*R76,0)</x:f>
        <x:v>0</x:v>
      </x:c>
      <x:c r="U76" s="16" t="n">
        <x:f>S76-T76</x:f>
        <x:v>0.623445</x:v>
      </x:c>
      <x:c r="V76" s="16" t="n">
        <x:f>S76*TAN(ACOS(G76))</x:f>
        <x:v>0.22420603393881</x:v>
      </x:c>
      <x:c r="W76" s="16" t="n">
        <x:f>SQRT(U76^2+V76^2)</x:f>
        <x:v>0.6625345377258237</x:v>
      </x:c>
      <x:c r="X76" s="13" t="str">
        <x:v>No</x:v>
      </x:c>
      <x:c r="Y76" s="13" t="str"/>
      <x:c r="Z76" s="18" t="str"/>
      <x:c r="AA76" s="13" t="str"/>
      <x:c r="AB76" s="18" t="str"/>
      <x:c r="AC76" s="13" t="str">
        <x:v>No</x:v>
      </x:c>
      <x:c r="AD76" s="16" t="n">
        <x:f>IF(M76="Three Phase",J76/3,IF(N76="R",J76,0))</x:f>
        <x:v>0</x:v>
      </x:c>
      <x:c r="AE76" s="16" t="n">
        <x:f>IF(M76="Three Phase",K76/3,IF(N76="R",K76,0))</x:f>
        <x:v>0</x:v>
      </x:c>
      <x:c r="AF76" s="16" t="n">
        <x:f>IF(M76="Three Phase",J76/3,IF(N76="Y",J76,0))</x:f>
        <x:v>1.059156</x:v>
      </x:c>
      <x:c r="AG76" s="16" t="n">
        <x:f>IF(M76="Three Phase",K76/3,IF(N76="Y",K76,0))</x:f>
        <x:v>0.3808983408039109</x:v>
      </x:c>
      <x:c r="AH76" s="16" t="n">
        <x:f>IF(M76="Three Phase",J76/3,IF(N76="B",J76,0))</x:f>
        <x:v>0</x:v>
      </x:c>
      <x:c r="AI76" s="16" t="n">
        <x:f>IF(M76="Three Phase",K76/3,IF(N76="B",K76,0))</x:f>
        <x:v>0</x:v>
      </x:c>
      <x:c r="AJ76" s="16" t="n">
        <x:f>IF(M76="Three Phase",U76/3,IF(N76="R",U76,0))</x:f>
        <x:v>0</x:v>
      </x:c>
      <x:c r="AK76" s="16" t="n">
        <x:f>IF(M76="Three Phase",V76/3,IF(N76="R",V76,0))</x:f>
        <x:v>0</x:v>
      </x:c>
      <x:c r="AL76" s="16" t="n">
        <x:f>IF(M76="Three Phase",U76/3,IF(N76="Y",U76,0))</x:f>
        <x:v>0.623445</x:v>
      </x:c>
      <x:c r="AM76" s="16" t="n">
        <x:f>IF(M76="Three Phase",V76/3,IF(N76="Y",V76,0))</x:f>
        <x:v>0.22420603393881</x:v>
      </x:c>
      <x:c r="AN76" s="16" t="n">
        <x:f>IF(M76="Three Phase",U76/3,IF(N76="B",U76,0))</x:f>
        <x:v>0</x:v>
      </x:c>
      <x:c r="AO76" s="16" t="n">
        <x:f>IF(M76="Three Phase",V76/3,IF(N76="B",V76,0))</x:f>
        <x:v>0</x:v>
      </x:c>
    </x:row>
    <x:row r="77">
      <x:c r="A77" s="13" t="str">
        <x:v>C0076</x:v>
      </x:c>
      <x:c r="B77" s="13" t="str">
        <x:v>DT-5</x:v>
      </x:c>
      <x:c r="C77" s="13" t="str">
        <x:v>Industrial</x:v>
      </x:c>
      <x:c r="D77" s="16" t="n">
        <x:v>22.5</x:v>
      </x:c>
      <x:c r="E77" s="16" t="n">
        <x:v>0.856</x:v>
      </x:c>
      <x:c r="F77" s="16" t="n">
        <x:f>D77*E77</x:f>
        <x:v>19.259999999999998</x:v>
      </x:c>
      <x:c r="G77" s="16" t="n">
        <x:v>0.933</x:v>
      </x:c>
      <x:c r="H77" s="16" t="n">
        <x:f>F77/G77</x:f>
        <x:v>20.643086816720253</x:v>
      </x:c>
      <x:c r="I77" s="16" t="n">
        <x:v>0.761</x:v>
      </x:c>
      <x:c r="J77" s="16" t="n">
        <x:f>F77*I77</x:f>
        <x:v>14.656859999999998</x:v>
      </x:c>
      <x:c r="K77" s="16" t="n">
        <x:f>J77*TAN(ACOS(G77))</x:f>
        <x:v>5.653437875774896</x:v>
      </x:c>
      <x:c r="L77" s="16" t="n">
        <x:f>SQRT(J77^2+K77^2)</x:f>
        <x:v>15.709389067524112</x:v>
      </x:c>
      <x:c r="M77" s="16" t="str">
        <x:v>Three Phase</x:v>
      </x:c>
      <x:c r="N77" s="16" t="str">
        <x:v>RYB</x:v>
      </x:c>
      <x:c r="O77" s="16" t="str">
        <x:v>No</x:v>
      </x:c>
      <x:c r="P77" s="16" t="n">
        <x:v>0</x:v>
      </x:c>
      <x:c r="Q77" s="16" t="n">
        <x:v>0.875</x:v>
      </x:c>
      <x:c r="R77" s="16" t="n">
        <x:v>0</x:v>
      </x:c>
      <x:c r="S77" s="16" t="n">
        <x:f>F77*Q77</x:f>
        <x:v>16.8525</x:v>
      </x:c>
      <x:c r="T77" s="16" t="n">
        <x:f>IF(O77="Yes",P77*R77,0)</x:f>
        <x:v>0</x:v>
      </x:c>
      <x:c r="U77" s="16" t="n">
        <x:f>S77-T77</x:f>
        <x:v>16.8525</x:v>
      </x:c>
      <x:c r="V77" s="16" t="n">
        <x:f>S77*TAN(ACOS(G77))</x:f>
        <x:v>6.500339213275998</x:v>
      </x:c>
      <x:c r="W77" s="16" t="n">
        <x:f>SQRT(U77^2+V77^2)</x:f>
        <x:v>18.062700964630224</x:v>
      </x:c>
      <x:c r="X77" s="13" t="str">
        <x:v>No</x:v>
      </x:c>
      <x:c r="Y77" s="13" t="str"/>
      <x:c r="Z77" s="18" t="str"/>
      <x:c r="AA77" s="13" t="str"/>
      <x:c r="AB77" s="18" t="str"/>
      <x:c r="AC77" s="13" t="str">
        <x:v>No</x:v>
      </x:c>
      <x:c r="AD77" s="16" t="n">
        <x:f>IF(M77="Three Phase",J77/3,IF(N77="R",J77,0))</x:f>
        <x:v>4.885619999999999</x:v>
      </x:c>
      <x:c r="AE77" s="16" t="n">
        <x:f>IF(M77="Three Phase",K77/3,IF(N77="R",K77,0))</x:f>
        <x:v>1.8844792919249655</x:v>
      </x:c>
      <x:c r="AF77" s="16" t="n">
        <x:f>IF(M77="Three Phase",J77/3,IF(N77="Y",J77,0))</x:f>
        <x:v>4.885619999999999</x:v>
      </x:c>
      <x:c r="AG77" s="16" t="n">
        <x:f>IF(M77="Three Phase",K77/3,IF(N77="Y",K77,0))</x:f>
        <x:v>1.8844792919249655</x:v>
      </x:c>
      <x:c r="AH77" s="16" t="n">
        <x:f>IF(M77="Three Phase",J77/3,IF(N77="B",J77,0))</x:f>
        <x:v>4.885619999999999</x:v>
      </x:c>
      <x:c r="AI77" s="16" t="n">
        <x:f>IF(M77="Three Phase",K77/3,IF(N77="B",K77,0))</x:f>
        <x:v>1.8844792919249655</x:v>
      </x:c>
      <x:c r="AJ77" s="16" t="n">
        <x:f>IF(M77="Three Phase",U77/3,IF(N77="R",U77,0))</x:f>
        <x:v>5.6175</x:v>
      </x:c>
      <x:c r="AK77" s="16" t="n">
        <x:f>IF(M77="Three Phase",V77/3,IF(N77="R",V77,0))</x:f>
        <x:v>2.166779737758666</x:v>
      </x:c>
      <x:c r="AL77" s="16" t="n">
        <x:f>IF(M77="Three Phase",U77/3,IF(N77="Y",U77,0))</x:f>
        <x:v>5.6175</x:v>
      </x:c>
      <x:c r="AM77" s="16" t="n">
        <x:f>IF(M77="Three Phase",V77/3,IF(N77="Y",V77,0))</x:f>
        <x:v>2.166779737758666</x:v>
      </x:c>
      <x:c r="AN77" s="16" t="n">
        <x:f>IF(M77="Three Phase",U77/3,IF(N77="B",U77,0))</x:f>
        <x:v>5.6175</x:v>
      </x:c>
      <x:c r="AO77" s="16" t="n">
        <x:f>IF(M77="Three Phase",V77/3,IF(N77="B",V77,0))</x:f>
        <x:v>2.166779737758666</x:v>
      </x:c>
    </x:row>
    <x:row r="78">
      <x:c r="A78" s="13" t="str">
        <x:v>C0077</x:v>
      </x:c>
      <x:c r="B78" s="13" t="str">
        <x:v>DT-5</x:v>
      </x:c>
      <x:c r="C78" s="13" t="str">
        <x:v>Commercial</x:v>
      </x:c>
      <x:c r="D78" s="16" t="n">
        <x:v>4</x:v>
      </x:c>
      <x:c r="E78" s="16" t="n">
        <x:v>0.568</x:v>
      </x:c>
      <x:c r="F78" s="16" t="n">
        <x:f>D78*E78</x:f>
        <x:v>2.272</x:v>
      </x:c>
      <x:c r="G78" s="16" t="n">
        <x:v>0.915</x:v>
      </x:c>
      <x:c r="H78" s="16" t="n">
        <x:f>F78/G78</x:f>
        <x:v>2.483060109289617</x:v>
      </x:c>
      <x:c r="I78" s="16" t="n">
        <x:v>0.883</x:v>
      </x:c>
      <x:c r="J78" s="16" t="n">
        <x:f>F78*I78</x:f>
        <x:v>2.006176</x:v>
      </x:c>
      <x:c r="K78" s="16" t="n">
        <x:f>J78*TAN(ACOS(G78))</x:f>
        <x:v>0.8845895173801872</x:v>
      </x:c>
      <x:c r="L78" s="16" t="n">
        <x:f>SQRT(J78^2+K78^2)</x:f>
        <x:v>2.192542076502732</x:v>
      </x:c>
      <x:c r="M78" s="16" t="str">
        <x:v>Single Phase</x:v>
      </x:c>
      <x:c r="N78" s="16" t="str">
        <x:v>Y</x:v>
      </x:c>
      <x:c r="O78" s="16" t="str">
        <x:v>Yes</x:v>
      </x:c>
      <x:c r="P78" s="16" t="n">
        <x:v>13</x:v>
      </x:c>
      <x:c r="Q78" s="16" t="n">
        <x:v>0.567</x:v>
      </x:c>
      <x:c r="R78" s="16" t="n">
        <x:v>0.786</x:v>
      </x:c>
      <x:c r="S78" s="16" t="n">
        <x:f>F78*Q78</x:f>
        <x:v>1.2882239999999998</x:v>
      </x:c>
      <x:c r="T78" s="16" t="n">
        <x:f>IF(O78="Yes",P78*R78,0)</x:f>
        <x:v>10.218</x:v>
      </x:c>
      <x:c r="U78" s="16" t="n">
        <x:f>S78-T78</x:f>
        <x:v>-8.929776</x:v>
      </x:c>
      <x:c r="V78" s="16" t="n">
        <x:f>S78*TAN(ACOS(G78))</x:f>
        <x:v>0.5680206753732345</x:v>
      </x:c>
      <x:c r="W78" s="16" t="n">
        <x:f>SQRT(U78^2+V78^2)</x:f>
        <x:v>8.947823584415792</x:v>
      </x:c>
      <x:c r="X78" s="13" t="str">
        <x:v>Yes</x:v>
      </x:c>
      <x:c r="Y78" s="13" t="str">
        <x:v>DT-4</x:v>
      </x:c>
      <x:c r="Z78" s="18" t="n">
        <x:v>45</x:v>
      </x:c>
      <x:c r="AA78" s="13" t="str"/>
      <x:c r="AB78" s="18" t="str"/>
      <x:c r="AC78" s="13" t="str">
        <x:v>Yes</x:v>
      </x:c>
      <x:c r="AD78" s="16" t="n">
        <x:f>IF(M78="Three Phase",J78/3,IF(N78="R",J78,0))</x:f>
        <x:v>0</x:v>
      </x:c>
      <x:c r="AE78" s="16" t="n">
        <x:f>IF(M78="Three Phase",K78/3,IF(N78="R",K78,0))</x:f>
        <x:v>0</x:v>
      </x:c>
      <x:c r="AF78" s="16" t="n">
        <x:f>IF(M78="Three Phase",J78/3,IF(N78="Y",J78,0))</x:f>
        <x:v>2.006176</x:v>
      </x:c>
      <x:c r="AG78" s="16" t="n">
        <x:f>IF(M78="Three Phase",K78/3,IF(N78="Y",K78,0))</x:f>
        <x:v>0.8845895173801872</x:v>
      </x:c>
      <x:c r="AH78" s="16" t="n">
        <x:f>IF(M78="Three Phase",J78/3,IF(N78="B",J78,0))</x:f>
        <x:v>0</x:v>
      </x:c>
      <x:c r="AI78" s="16" t="n">
        <x:f>IF(M78="Three Phase",K78/3,IF(N78="B",K78,0))</x:f>
        <x:v>0</x:v>
      </x:c>
      <x:c r="AJ78" s="16" t="n">
        <x:f>IF(M78="Three Phase",U78/3,IF(N78="R",U78,0))</x:f>
        <x:v>0</x:v>
      </x:c>
      <x:c r="AK78" s="16" t="n">
        <x:f>IF(M78="Three Phase",V78/3,IF(N78="R",V78,0))</x:f>
        <x:v>0</x:v>
      </x:c>
      <x:c r="AL78" s="16" t="n">
        <x:f>IF(M78="Three Phase",U78/3,IF(N78="Y",U78,0))</x:f>
        <x:v>-8.929776</x:v>
      </x:c>
      <x:c r="AM78" s="16" t="n">
        <x:f>IF(M78="Three Phase",V78/3,IF(N78="Y",V78,0))</x:f>
        <x:v>0.5680206753732345</x:v>
      </x:c>
      <x:c r="AN78" s="16" t="n">
        <x:f>IF(M78="Three Phase",U78/3,IF(N78="B",U78,0))</x:f>
        <x:v>0</x:v>
      </x:c>
      <x:c r="AO78" s="16" t="n">
        <x:f>IF(M78="Three Phase",V78/3,IF(N78="B",V78,0))</x:f>
        <x:v>0</x:v>
      </x:c>
    </x:row>
    <x:row r="79">
      <x:c r="A79" s="13" t="str">
        <x:v>C0078</x:v>
      </x:c>
      <x:c r="B79" s="13" t="str">
        <x:v>DT-5</x:v>
      </x:c>
      <x:c r="C79" s="13" t="str">
        <x:v>Commercial</x:v>
      </x:c>
      <x:c r="D79" s="16" t="n">
        <x:v>5</x:v>
      </x:c>
      <x:c r="E79" s="16" t="n">
        <x:v>0.76</x:v>
      </x:c>
      <x:c r="F79" s="16" t="n">
        <x:f>D79*E79</x:f>
        <x:v>3.8</x:v>
      </x:c>
      <x:c r="G79" s="16" t="n">
        <x:v>0.958</x:v>
      </x:c>
      <x:c r="H79" s="16" t="n">
        <x:f>F79/G79</x:f>
        <x:v>3.9665970772442587</x:v>
      </x:c>
      <x:c r="I79" s="16" t="n">
        <x:v>0.648</x:v>
      </x:c>
      <x:c r="J79" s="16" t="n">
        <x:f>F79*I79</x:f>
        <x:v>2.4624</x:v>
      </x:c>
      <x:c r="K79" s="16" t="n">
        <x:f>J79*TAN(ACOS(G79))</x:f>
        <x:v>0.7370960473895555</x:v>
      </x:c>
      <x:c r="L79" s="16" t="n">
        <x:f>SQRT(J79^2+K79^2)</x:f>
        <x:v>2.57035490605428</x:v>
      </x:c>
      <x:c r="M79" s="16" t="str">
        <x:v>Single Phase</x:v>
      </x:c>
      <x:c r="N79" s="16" t="str">
        <x:v>Y</x:v>
      </x:c>
      <x:c r="O79" s="16" t="str">
        <x:v>No</x:v>
      </x:c>
      <x:c r="P79" s="16" t="n">
        <x:v>0</x:v>
      </x:c>
      <x:c r="Q79" s="16" t="n">
        <x:v>0.548</x:v>
      </x:c>
      <x:c r="R79" s="16" t="n">
        <x:v>0</x:v>
      </x:c>
      <x:c r="S79" s="16" t="n">
        <x:f>F79*Q79</x:f>
        <x:v>2.0824000000000003</x:v>
      </x:c>
      <x:c r="T79" s="16" t="n">
        <x:f>IF(O79="Yes",P79*R79,0)</x:f>
        <x:v>0</x:v>
      </x:c>
      <x:c r="U79" s="16" t="n">
        <x:f>S79-T79</x:f>
        <x:v>2.0824000000000003</x:v>
      </x:c>
      <x:c r="V79" s="16" t="n">
        <x:f>S79*TAN(ACOS(G79))</x:f>
        <x:v>0.623346657360303</x:v>
      </x:c>
      <x:c r="W79" s="16" t="n">
        <x:f>SQRT(U79^2+V79^2)</x:f>
        <x:v>2.1736951983298543</x:v>
      </x:c>
      <x:c r="X79" s="13" t="str">
        <x:v>Yes</x:v>
      </x:c>
      <x:c r="Y79" s="13" t="str">
        <x:v>DT-2</x:v>
      </x:c>
      <x:c r="Z79" s="18" t="n">
        <x:v>37</x:v>
      </x:c>
      <x:c r="AA79" s="13" t="str"/>
      <x:c r="AB79" s="18" t="str"/>
      <x:c r="AC79" s="13" t="str">
        <x:v>Yes</x:v>
      </x:c>
      <x:c r="AD79" s="16" t="n">
        <x:f>IF(M79="Three Phase",J79/3,IF(N79="R",J79,0))</x:f>
        <x:v>0</x:v>
      </x:c>
      <x:c r="AE79" s="16" t="n">
        <x:f>IF(M79="Three Phase",K79/3,IF(N79="R",K79,0))</x:f>
        <x:v>0</x:v>
      </x:c>
      <x:c r="AF79" s="16" t="n">
        <x:f>IF(M79="Three Phase",J79/3,IF(N79="Y",J79,0))</x:f>
        <x:v>2.4624</x:v>
      </x:c>
      <x:c r="AG79" s="16" t="n">
        <x:f>IF(M79="Three Phase",K79/3,IF(N79="Y",K79,0))</x:f>
        <x:v>0.7370960473895555</x:v>
      </x:c>
      <x:c r="AH79" s="16" t="n">
        <x:f>IF(M79="Three Phase",J79/3,IF(N79="B",J79,0))</x:f>
        <x:v>0</x:v>
      </x:c>
      <x:c r="AI79" s="16" t="n">
        <x:f>IF(M79="Three Phase",K79/3,IF(N79="B",K79,0))</x:f>
        <x:v>0</x:v>
      </x:c>
      <x:c r="AJ79" s="16" t="n">
        <x:f>IF(M79="Three Phase",U79/3,IF(N79="R",U79,0))</x:f>
        <x:v>0</x:v>
      </x:c>
      <x:c r="AK79" s="16" t="n">
        <x:f>IF(M79="Three Phase",V79/3,IF(N79="R",V79,0))</x:f>
        <x:v>0</x:v>
      </x:c>
      <x:c r="AL79" s="16" t="n">
        <x:f>IF(M79="Three Phase",U79/3,IF(N79="Y",U79,0))</x:f>
        <x:v>2.0824000000000003</x:v>
      </x:c>
      <x:c r="AM79" s="16" t="n">
        <x:f>IF(M79="Three Phase",V79/3,IF(N79="Y",V79,0))</x:f>
        <x:v>0.623346657360303</x:v>
      </x:c>
      <x:c r="AN79" s="16" t="n">
        <x:f>IF(M79="Three Phase",U79/3,IF(N79="B",U79,0))</x:f>
        <x:v>0</x:v>
      </x:c>
      <x:c r="AO79" s="16" t="n">
        <x:f>IF(M79="Three Phase",V79/3,IF(N79="B",V79,0))</x:f>
        <x:v>0</x:v>
      </x:c>
    </x:row>
    <x:row r="80">
      <x:c r="A80" s="13" t="str">
        <x:v>C0079</x:v>
      </x:c>
      <x:c r="B80" s="13" t="str">
        <x:v>DT-5</x:v>
      </x:c>
      <x:c r="C80" s="13" t="str">
        <x:v>Residential</x:v>
      </x:c>
      <x:c r="D80" s="16" t="n">
        <x:v>3</x:v>
      </x:c>
      <x:c r="E80" s="16" t="n">
        <x:v>0.796</x:v>
      </x:c>
      <x:c r="F80" s="16" t="n">
        <x:f>D80*E80</x:f>
        <x:v>2.388</x:v>
      </x:c>
      <x:c r="G80" s="16" t="n">
        <x:v>0.938</x:v>
      </x:c>
      <x:c r="H80" s="16" t="n">
        <x:f>F80/G80</x:f>
        <x:v>2.5458422174840085</x:v>
      </x:c>
      <x:c r="I80" s="16" t="n">
        <x:v>0.812</x:v>
      </x:c>
      <x:c r="J80" s="16" t="n">
        <x:f>F80*I80</x:f>
        <x:v>1.9390560000000001</x:v>
      </x:c>
      <x:c r="K80" s="16" t="n">
        <x:f>J80*TAN(ACOS(G80))</x:f>
        <x:v>0.7165726769662529</x:v>
      </x:c>
      <x:c r="L80" s="16" t="n">
        <x:f>SQRT(J80^2+K80^2)</x:f>
        <x:v>2.067223880597015</x:v>
      </x:c>
      <x:c r="M80" s="16" t="str">
        <x:v>Single Phase</x:v>
      </x:c>
      <x:c r="N80" s="16" t="str">
        <x:v>Y</x:v>
      </x:c>
      <x:c r="O80" s="16" t="str">
        <x:v>No</x:v>
      </x:c>
      <x:c r="P80" s="16" t="n">
        <x:v>0</x:v>
      </x:c>
      <x:c r="Q80" s="16" t="n">
        <x:v>0.456</x:v>
      </x:c>
      <x:c r="R80" s="16" t="n">
        <x:v>0</x:v>
      </x:c>
      <x:c r="S80" s="16" t="n">
        <x:f>F80*Q80</x:f>
        <x:v>1.088928</x:v>
      </x:c>
      <x:c r="T80" s="16" t="n">
        <x:f>IF(O80="Yes",P80*R80,0)</x:f>
        <x:v>0</x:v>
      </x:c>
      <x:c r="U80" s="16" t="n">
        <x:f>S80-T80</x:f>
        <x:v>1.088928</x:v>
      </x:c>
      <x:c r="V80" s="16" t="n">
        <x:f>S80*TAN(ACOS(G80))</x:f>
        <x:v>0.4024102717938563</x:v>
      </x:c>
      <x:c r="W80" s="16" t="n">
        <x:f>SQRT(U80^2+V80^2)</x:f>
        <x:v>1.1609040511727078</x:v>
      </x:c>
      <x:c r="X80" s="13" t="str">
        <x:v>No</x:v>
      </x:c>
      <x:c r="Y80" s="13" t="str"/>
      <x:c r="Z80" s="18" t="str"/>
      <x:c r="AA80" s="13" t="str"/>
      <x:c r="AB80" s="18" t="str"/>
      <x:c r="AC80" s="13" t="str">
        <x:v>Yes</x:v>
      </x:c>
      <x:c r="AD80" s="16" t="n">
        <x:f>IF(M80="Three Phase",J80/3,IF(N80="R",J80,0))</x:f>
        <x:v>0</x:v>
      </x:c>
      <x:c r="AE80" s="16" t="n">
        <x:f>IF(M80="Three Phase",K80/3,IF(N80="R",K80,0))</x:f>
        <x:v>0</x:v>
      </x:c>
      <x:c r="AF80" s="16" t="n">
        <x:f>IF(M80="Three Phase",J80/3,IF(N80="Y",J80,0))</x:f>
        <x:v>1.9390560000000001</x:v>
      </x:c>
      <x:c r="AG80" s="16" t="n">
        <x:f>IF(M80="Three Phase",K80/3,IF(N80="Y",K80,0))</x:f>
        <x:v>0.7165726769662529</x:v>
      </x:c>
      <x:c r="AH80" s="16" t="n">
        <x:f>IF(M80="Three Phase",J80/3,IF(N80="B",J80,0))</x:f>
        <x:v>0</x:v>
      </x:c>
      <x:c r="AI80" s="16" t="n">
        <x:f>IF(M80="Three Phase",K80/3,IF(N80="B",K80,0))</x:f>
        <x:v>0</x:v>
      </x:c>
      <x:c r="AJ80" s="16" t="n">
        <x:f>IF(M80="Three Phase",U80/3,IF(N80="R",U80,0))</x:f>
        <x:v>0</x:v>
      </x:c>
      <x:c r="AK80" s="16" t="n">
        <x:f>IF(M80="Three Phase",V80/3,IF(N80="R",V80,0))</x:f>
        <x:v>0</x:v>
      </x:c>
      <x:c r="AL80" s="16" t="n">
        <x:f>IF(M80="Three Phase",U80/3,IF(N80="Y",U80,0))</x:f>
        <x:v>1.088928</x:v>
      </x:c>
      <x:c r="AM80" s="16" t="n">
        <x:f>IF(M80="Three Phase",V80/3,IF(N80="Y",V80,0))</x:f>
        <x:v>0.4024102717938563</x:v>
      </x:c>
      <x:c r="AN80" s="16" t="n">
        <x:f>IF(M80="Three Phase",U80/3,IF(N80="B",U80,0))</x:f>
        <x:v>0</x:v>
      </x:c>
      <x:c r="AO80" s="16" t="n">
        <x:f>IF(M80="Three Phase",V80/3,IF(N80="B",V80,0))</x:f>
        <x:v>0</x:v>
      </x:c>
    </x:row>
    <x:row r="81">
      <x:c r="A81" s="13" t="str">
        <x:v>C0080</x:v>
      </x:c>
      <x:c r="B81" s="13" t="str">
        <x:v>DT-5</x:v>
      </x:c>
      <x:c r="C81" s="13" t="str">
        <x:v>Residential</x:v>
      </x:c>
      <x:c r="D81" s="16" t="n">
        <x:v>5</x:v>
      </x:c>
      <x:c r="E81" s="16" t="n">
        <x:v>0.796</x:v>
      </x:c>
      <x:c r="F81" s="16" t="n">
        <x:f>D81*E81</x:f>
        <x:v>3.9800000000000004</x:v>
      </x:c>
      <x:c r="G81" s="16" t="n">
        <x:v>0.931</x:v>
      </x:c>
      <x:c r="H81" s="16" t="n">
        <x:f>F81/G81</x:f>
        <x:v>4.274973147153599</x:v>
      </x:c>
      <x:c r="I81" s="16" t="n">
        <x:v>0.824</x:v>
      </x:c>
      <x:c r="J81" s="16" t="n">
        <x:f>F81*I81</x:f>
        <x:v>3.27952</x:v>
      </x:c>
      <x:c r="K81" s="16" t="n">
        <x:f>J81*TAN(ACOS(G81))</x:f>
        <x:v>1.2858084782511947</x:v>
      </x:c>
      <x:c r="L81" s="16" t="n">
        <x:f>SQRT(J81^2+K81^2)</x:f>
        <x:v>3.5225778732545647</x:v>
      </x:c>
      <x:c r="M81" s="16" t="str">
        <x:v>Single Phase</x:v>
      </x:c>
      <x:c r="N81" s="16" t="str">
        <x:v>Y</x:v>
      </x:c>
      <x:c r="O81" s="16" t="str">
        <x:v>No</x:v>
      </x:c>
      <x:c r="P81" s="16" t="n">
        <x:v>0</x:v>
      </x:c>
      <x:c r="Q81" s="16" t="n">
        <x:v>0.423</x:v>
      </x:c>
      <x:c r="R81" s="16" t="n">
        <x:v>0</x:v>
      </x:c>
      <x:c r="S81" s="16" t="n">
        <x:f>F81*Q81</x:f>
        <x:v>1.68354</x:v>
      </x:c>
      <x:c r="T81" s="16" t="n">
        <x:f>IF(O81="Yes",P81*R81,0)</x:f>
        <x:v>0</x:v>
      </x:c>
      <x:c r="U81" s="16" t="n">
        <x:f>S81-T81</x:f>
        <x:v>1.68354</x:v>
      </x:c>
      <x:c r="V81" s="16" t="n">
        <x:f>S81*TAN(ACOS(G81))</x:f>
        <x:v>0.6600691581313778</x:v>
      </x:c>
      <x:c r="W81" s="16" t="n">
        <x:f>SQRT(U81^2+V81^2)</x:f>
        <x:v>1.808313641245972</x:v>
      </x:c>
      <x:c r="X81" s="13" t="str">
        <x:v>Yes</x:v>
      </x:c>
      <x:c r="Y81" s="13" t="str">
        <x:v>DT-7</x:v>
      </x:c>
      <x:c r="Z81" s="18" t="n">
        <x:v>33</x:v>
      </x:c>
      <x:c r="AA81" s="13" t="str"/>
      <x:c r="AB81" s="18" t="str"/>
      <x:c r="AC81" s="13" t="str">
        <x:v>Yes</x:v>
      </x:c>
      <x:c r="AD81" s="16" t="n">
        <x:f>IF(M81="Three Phase",J81/3,IF(N81="R",J81,0))</x:f>
        <x:v>0</x:v>
      </x:c>
      <x:c r="AE81" s="16" t="n">
        <x:f>IF(M81="Three Phase",K81/3,IF(N81="R",K81,0))</x:f>
        <x:v>0</x:v>
      </x:c>
      <x:c r="AF81" s="16" t="n">
        <x:f>IF(M81="Three Phase",J81/3,IF(N81="Y",J81,0))</x:f>
        <x:v>3.27952</x:v>
      </x:c>
      <x:c r="AG81" s="16" t="n">
        <x:f>IF(M81="Three Phase",K81/3,IF(N81="Y",K81,0))</x:f>
        <x:v>1.2858084782511947</x:v>
      </x:c>
      <x:c r="AH81" s="16" t="n">
        <x:f>IF(M81="Three Phase",J81/3,IF(N81="B",J81,0))</x:f>
        <x:v>0</x:v>
      </x:c>
      <x:c r="AI81" s="16" t="n">
        <x:f>IF(M81="Three Phase",K81/3,IF(N81="B",K81,0))</x:f>
        <x:v>0</x:v>
      </x:c>
      <x:c r="AJ81" s="16" t="n">
        <x:f>IF(M81="Three Phase",U81/3,IF(N81="R",U81,0))</x:f>
        <x:v>0</x:v>
      </x:c>
      <x:c r="AK81" s="16" t="n">
        <x:f>IF(M81="Three Phase",V81/3,IF(N81="R",V81,0))</x:f>
        <x:v>0</x:v>
      </x:c>
      <x:c r="AL81" s="16" t="n">
        <x:f>IF(M81="Three Phase",U81/3,IF(N81="Y",U81,0))</x:f>
        <x:v>1.68354</x:v>
      </x:c>
      <x:c r="AM81" s="16" t="n">
        <x:f>IF(M81="Three Phase",V81/3,IF(N81="Y",V81,0))</x:f>
        <x:v>0.6600691581313778</x:v>
      </x:c>
      <x:c r="AN81" s="16" t="n">
        <x:f>IF(M81="Three Phase",U81/3,IF(N81="B",U81,0))</x:f>
        <x:v>0</x:v>
      </x:c>
      <x:c r="AO81" s="16" t="n">
        <x:f>IF(M81="Three Phase",V81/3,IF(N81="B",V81,0))</x:f>
        <x:v>0</x:v>
      </x:c>
    </x:row>
    <x:row r="82">
      <x:c r="A82" s="13" t="str">
        <x:v>C0081</x:v>
      </x:c>
      <x:c r="B82" s="13" t="str">
        <x:v>DT-5</x:v>
      </x:c>
      <x:c r="C82" s="13" t="str">
        <x:v>Residential</x:v>
      </x:c>
      <x:c r="D82" s="16" t="n">
        <x:v>3.5</x:v>
      </x:c>
      <x:c r="E82" s="16" t="n">
        <x:v>0.656</x:v>
      </x:c>
      <x:c r="F82" s="16" t="n">
        <x:f>D82*E82</x:f>
        <x:v>2.2960000000000003</x:v>
      </x:c>
      <x:c r="G82" s="16" t="n">
        <x:v>0.973</x:v>
      </x:c>
      <x:c r="H82" s="16" t="n">
        <x:f>F82/G82</x:f>
        <x:v>2.3597122302158278</x:v>
      </x:c>
      <x:c r="I82" s="16" t="n">
        <x:v>0.933</x:v>
      </x:c>
      <x:c r="J82" s="16" t="n">
        <x:f>F82*I82</x:f>
        <x:v>2.1421680000000003</x:v>
      </x:c>
      <x:c r="K82" s="16" t="n">
        <x:f>J82*TAN(ACOS(G82))</x:f>
        <x:v>0.5081431926386945</x:v>
      </x:c>
      <x:c r="L82" s="16" t="n">
        <x:f>SQRT(J82^2+K82^2)</x:f>
        <x:v>2.201611510791367</x:v>
      </x:c>
      <x:c r="M82" s="16" t="str">
        <x:v>Single Phase</x:v>
      </x:c>
      <x:c r="N82" s="16" t="str">
        <x:v>R</x:v>
      </x:c>
      <x:c r="O82" s="16" t="str">
        <x:v>No</x:v>
      </x:c>
      <x:c r="P82" s="16" t="n">
        <x:v>0</x:v>
      </x:c>
      <x:c r="Q82" s="16" t="n">
        <x:v>0.253</x:v>
      </x:c>
      <x:c r="R82" s="16" t="n">
        <x:v>0</x:v>
      </x:c>
      <x:c r="S82" s="16" t="n">
        <x:f>F82*Q82</x:f>
        <x:v>0.5808880000000001</x:v>
      </x:c>
      <x:c r="T82" s="16" t="n">
        <x:f>IF(O82="Yes",P82*R82,0)</x:f>
        <x:v>0</x:v>
      </x:c>
      <x:c r="U82" s="16" t="n">
        <x:f>S82-T82</x:f>
        <x:v>0.5808880000000001</x:v>
      </x:c>
      <x:c r="V82" s="16" t="n">
        <x:f>S82*TAN(ACOS(G82))</x:f>
        <x:v>0.13779231268766312</x:v>
      </x:c>
      <x:c r="W82" s="16" t="n">
        <x:f>SQRT(U82^2+V82^2)</x:f>
        <x:v>0.5970071942446044</x:v>
      </x:c>
      <x:c r="X82" s="13" t="str">
        <x:v>Yes</x:v>
      </x:c>
      <x:c r="Y82" s="13" t="str">
        <x:v>DT-6</x:v>
      </x:c>
      <x:c r="Z82" s="18" t="n">
        <x:v>111</x:v>
      </x:c>
      <x:c r="AA82" s="13" t="str">
        <x:v>DT-7</x:v>
      </x:c>
      <x:c r="AB82" s="18" t="n">
        <x:v>55</x:v>
      </x:c>
      <x:c r="AC82" s="13" t="str">
        <x:v>Yes</x:v>
      </x:c>
      <x:c r="AD82" s="16" t="n">
        <x:f>IF(M82="Three Phase",J82/3,IF(N82="R",J82,0))</x:f>
        <x:v>2.1421680000000003</x:v>
      </x:c>
      <x:c r="AE82" s="16" t="n">
        <x:f>IF(M82="Three Phase",K82/3,IF(N82="R",K82,0))</x:f>
        <x:v>0.5081431926386945</x:v>
      </x:c>
      <x:c r="AF82" s="16" t="n">
        <x:f>IF(M82="Three Phase",J82/3,IF(N82="Y",J82,0))</x:f>
        <x:v>0</x:v>
      </x:c>
      <x:c r="AG82" s="16" t="n">
        <x:f>IF(M82="Three Phase",K82/3,IF(N82="Y",K82,0))</x:f>
        <x:v>0</x:v>
      </x:c>
      <x:c r="AH82" s="16" t="n">
        <x:f>IF(M82="Three Phase",J82/3,IF(N82="B",J82,0))</x:f>
        <x:v>0</x:v>
      </x:c>
      <x:c r="AI82" s="16" t="n">
        <x:f>IF(M82="Three Phase",K82/3,IF(N82="B",K82,0))</x:f>
        <x:v>0</x:v>
      </x:c>
      <x:c r="AJ82" s="16" t="n">
        <x:f>IF(M82="Three Phase",U82/3,IF(N82="R",U82,0))</x:f>
        <x:v>0.5808880000000001</x:v>
      </x:c>
      <x:c r="AK82" s="16" t="n">
        <x:f>IF(M82="Three Phase",V82/3,IF(N82="R",V82,0))</x:f>
        <x:v>0.13779231268766312</x:v>
      </x:c>
      <x:c r="AL82" s="16" t="n">
        <x:f>IF(M82="Three Phase",U82/3,IF(N82="Y",U82,0))</x:f>
        <x:v>0</x:v>
      </x:c>
      <x:c r="AM82" s="16" t="n">
        <x:f>IF(M82="Three Phase",V82/3,IF(N82="Y",V82,0))</x:f>
        <x:v>0</x:v>
      </x:c>
      <x:c r="AN82" s="16" t="n">
        <x:f>IF(M82="Three Phase",U82/3,IF(N82="B",U82,0))</x:f>
        <x:v>0</x:v>
      </x:c>
      <x:c r="AO82" s="16" t="n">
        <x:f>IF(M82="Three Phase",V82/3,IF(N82="B",V82,0))</x:f>
        <x:v>0</x:v>
      </x:c>
    </x:row>
    <x:row r="83">
      <x:c r="A83" s="13" t="str">
        <x:v>C0082</x:v>
      </x:c>
      <x:c r="B83" s="13" t="str">
        <x:v>DT-5</x:v>
      </x:c>
      <x:c r="C83" s="13" t="str">
        <x:v>Residential</x:v>
      </x:c>
      <x:c r="D83" s="16" t="n">
        <x:v>2.5</x:v>
      </x:c>
      <x:c r="E83" s="16" t="n">
        <x:v>0.594</x:v>
      </x:c>
      <x:c r="F83" s="16" t="n">
        <x:f>D83*E83</x:f>
        <x:v>1.4849999999999999</x:v>
      </x:c>
      <x:c r="G83" s="16" t="n">
        <x:v>0.99</x:v>
      </x:c>
      <x:c r="H83" s="16" t="n">
        <x:f>F83/G83</x:f>
        <x:v>1.4999999999999998</x:v>
      </x:c>
      <x:c r="I83" s="16" t="n">
        <x:v>0.796</x:v>
      </x:c>
      <x:c r="J83" s="16" t="n">
        <x:f>F83*I83</x:f>
        <x:v>1.1820599999999999</x:v>
      </x:c>
      <x:c r="K83" s="16" t="n">
        <x:f>J83*TAN(ACOS(G83))</x:f>
        <x:v>0.16843442759721072</x:v>
      </x:c>
      <x:c r="L83" s="16" t="n">
        <x:f>SQRT(J83^2+K83^2)</x:f>
        <x:v>1.194</x:v>
      </x:c>
      <x:c r="M83" s="16" t="str">
        <x:v>Single Phase</x:v>
      </x:c>
      <x:c r="N83" s="16" t="str">
        <x:v>R</x:v>
      </x:c>
      <x:c r="O83" s="16" t="str">
        <x:v>Yes</x:v>
      </x:c>
      <x:c r="P83" s="16" t="n">
        <x:v>5</x:v>
      </x:c>
      <x:c r="Q83" s="16" t="n">
        <x:v>0.303</x:v>
      </x:c>
      <x:c r="R83" s="16" t="n">
        <x:v>0.758</x:v>
      </x:c>
      <x:c r="S83" s="16" t="n">
        <x:f>F83*Q83</x:f>
        <x:v>0.44995499999999994</x:v>
      </x:c>
      <x:c r="T83" s="16" t="n">
        <x:f>IF(O83="Yes",P83*R83,0)</x:f>
        <x:v>3.79</x:v>
      </x:c>
      <x:c r="U83" s="16" t="n">
        <x:f>S83-T83</x:f>
        <x:v>-3.340045</x:v>
      </x:c>
      <x:c r="V83" s="16" t="n">
        <x:f>S83*TAN(ACOS(G83))</x:f>
        <x:v>0.06411511502758147</x:v>
      </x:c>
      <x:c r="W83" s="16" t="n">
        <x:f>SQRT(U83^2+V83^2)</x:f>
        <x:v>3.340660316464396</x:v>
      </x:c>
      <x:c r="X83" s="13" t="str">
        <x:v>No</x:v>
      </x:c>
      <x:c r="Y83" s="13" t="str"/>
      <x:c r="Z83" s="18" t="str"/>
      <x:c r="AA83" s="13" t="str"/>
      <x:c r="AB83" s="18" t="str"/>
      <x:c r="AC83" s="13" t="str">
        <x:v>Yes</x:v>
      </x:c>
      <x:c r="AD83" s="16" t="n">
        <x:f>IF(M83="Three Phase",J83/3,IF(N83="R",J83,0))</x:f>
        <x:v>1.1820599999999999</x:v>
      </x:c>
      <x:c r="AE83" s="16" t="n">
        <x:f>IF(M83="Three Phase",K83/3,IF(N83="R",K83,0))</x:f>
        <x:v>0.16843442759721072</x:v>
      </x:c>
      <x:c r="AF83" s="16" t="n">
        <x:f>IF(M83="Three Phase",J83/3,IF(N83="Y",J83,0))</x:f>
        <x:v>0</x:v>
      </x:c>
      <x:c r="AG83" s="16" t="n">
        <x:f>IF(M83="Three Phase",K83/3,IF(N83="Y",K83,0))</x:f>
        <x:v>0</x:v>
      </x:c>
      <x:c r="AH83" s="16" t="n">
        <x:f>IF(M83="Three Phase",J83/3,IF(N83="B",J83,0))</x:f>
        <x:v>0</x:v>
      </x:c>
      <x:c r="AI83" s="16" t="n">
        <x:f>IF(M83="Three Phase",K83/3,IF(N83="B",K83,0))</x:f>
        <x:v>0</x:v>
      </x:c>
      <x:c r="AJ83" s="16" t="n">
        <x:f>IF(M83="Three Phase",U83/3,IF(N83="R",U83,0))</x:f>
        <x:v>-3.340045</x:v>
      </x:c>
      <x:c r="AK83" s="16" t="n">
        <x:f>IF(M83="Three Phase",V83/3,IF(N83="R",V83,0))</x:f>
        <x:v>0.06411511502758147</x:v>
      </x:c>
      <x:c r="AL83" s="16" t="n">
        <x:f>IF(M83="Three Phase",U83/3,IF(N83="Y",U83,0))</x:f>
        <x:v>0</x:v>
      </x:c>
      <x:c r="AM83" s="16" t="n">
        <x:f>IF(M83="Three Phase",V83/3,IF(N83="Y",V83,0))</x:f>
        <x:v>0</x:v>
      </x:c>
      <x:c r="AN83" s="16" t="n">
        <x:f>IF(M83="Three Phase",U83/3,IF(N83="B",U83,0))</x:f>
        <x:v>0</x:v>
      </x:c>
      <x:c r="AO83" s="16" t="n">
        <x:f>IF(M83="Three Phase",V83/3,IF(N83="B",V83,0))</x:f>
        <x:v>0</x:v>
      </x:c>
    </x:row>
    <x:row r="84">
      <x:c r="A84" s="13" t="str">
        <x:v>C0083</x:v>
      </x:c>
      <x:c r="B84" s="13" t="str">
        <x:v>DT-5</x:v>
      </x:c>
      <x:c r="C84" s="13" t="str">
        <x:v>Industrial</x:v>
      </x:c>
      <x:c r="D84" s="16" t="n">
        <x:v>14.5</x:v>
      </x:c>
      <x:c r="E84" s="16" t="n">
        <x:v>0.671</x:v>
      </x:c>
      <x:c r="F84" s="16" t="n">
        <x:f>D84*E84</x:f>
        <x:v>9.7295</x:v>
      </x:c>
      <x:c r="G84" s="16" t="n">
        <x:v>0.933</x:v>
      </x:c>
      <x:c r="H84" s="16" t="n">
        <x:f>F84/G84</x:f>
        <x:v>10.42818863879957</x:v>
      </x:c>
      <x:c r="I84" s="16" t="n">
        <x:v>0.874</x:v>
      </x:c>
      <x:c r="J84" s="16" t="n">
        <x:f>F84*I84</x:f>
        <x:v>8.503582999999999</x:v>
      </x:c>
      <x:c r="K84" s="16" t="n">
        <x:f>J84*TAN(ACOS(G84))</x:f>
        <x:v>3.2799984588783357</x:v>
      </x:c>
      <x:c r="L84" s="16" t="n">
        <x:f>SQRT(J84^2+K84^2)</x:f>
        <x:v>9.114236870310824</x:v>
      </x:c>
      <x:c r="M84" s="16" t="str">
        <x:v>Three Phase</x:v>
      </x:c>
      <x:c r="N84" s="16" t="str">
        <x:v>RYB</x:v>
      </x:c>
      <x:c r="O84" s="16" t="str">
        <x:v>No</x:v>
      </x:c>
      <x:c r="P84" s="16" t="n">
        <x:v>0</x:v>
      </x:c>
      <x:c r="Q84" s="16" t="n">
        <x:v>0.667</x:v>
      </x:c>
      <x:c r="R84" s="16" t="n">
        <x:v>0</x:v>
      </x:c>
      <x:c r="S84" s="16" t="n">
        <x:f>F84*Q84</x:f>
        <x:v>6.4895765</x:v>
      </x:c>
      <x:c r="T84" s="16" t="n">
        <x:f>IF(O84="Yes",P84*R84,0)</x:f>
        <x:v>0</x:v>
      </x:c>
      <x:c r="U84" s="16" t="n">
        <x:f>S84-T84</x:f>
        <x:v>6.4895765</x:v>
      </x:c>
      <x:c r="V84" s="16" t="n">
        <x:f>S84*TAN(ACOS(G84))</x:f>
        <x:v>2.5031567186176775</x:v>
      </x:c>
      <x:c r="W84" s="16" t="n">
        <x:f>SQRT(U84^2+V84^2)</x:f>
        <x:v>6.955601822079314</x:v>
      </x:c>
      <x:c r="X84" s="13" t="str">
        <x:v>No</x:v>
      </x:c>
      <x:c r="Y84" s="13" t="str"/>
      <x:c r="Z84" s="18" t="str"/>
      <x:c r="AA84" s="13" t="str"/>
      <x:c r="AB84" s="18" t="str"/>
      <x:c r="AC84" s="13" t="str">
        <x:v>No</x:v>
      </x:c>
      <x:c r="AD84" s="16" t="n">
        <x:f>IF(M84="Three Phase",J84/3,IF(N84="R",J84,0))</x:f>
        <x:v>2.8345276666666663</x:v>
      </x:c>
      <x:c r="AE84" s="16" t="n">
        <x:f>IF(M84="Three Phase",K84/3,IF(N84="R",K84,0))</x:f>
        <x:v>1.0933328196261118</x:v>
      </x:c>
      <x:c r="AF84" s="16" t="n">
        <x:f>IF(M84="Three Phase",J84/3,IF(N84="Y",J84,0))</x:f>
        <x:v>2.8345276666666663</x:v>
      </x:c>
      <x:c r="AG84" s="16" t="n">
        <x:f>IF(M84="Three Phase",K84/3,IF(N84="Y",K84,0))</x:f>
        <x:v>1.0933328196261118</x:v>
      </x:c>
      <x:c r="AH84" s="16" t="n">
        <x:f>IF(M84="Three Phase",J84/3,IF(N84="B",J84,0))</x:f>
        <x:v>2.8345276666666663</x:v>
      </x:c>
      <x:c r="AI84" s="16" t="n">
        <x:f>IF(M84="Three Phase",K84/3,IF(N84="B",K84,0))</x:f>
        <x:v>1.0933328196261118</x:v>
      </x:c>
      <x:c r="AJ84" s="16" t="n">
        <x:f>IF(M84="Three Phase",U84/3,IF(N84="R",U84,0))</x:f>
        <x:v>2.1631921666666667</x:v>
      </x:c>
      <x:c r="AK84" s="16" t="n">
        <x:f>IF(M84="Three Phase",V84/3,IF(N84="R",V84,0))</x:f>
        <x:v>0.8343855728725592</x:v>
      </x:c>
      <x:c r="AL84" s="16" t="n">
        <x:f>IF(M84="Three Phase",U84/3,IF(N84="Y",U84,0))</x:f>
        <x:v>2.1631921666666667</x:v>
      </x:c>
      <x:c r="AM84" s="16" t="n">
        <x:f>IF(M84="Three Phase",V84/3,IF(N84="Y",V84,0))</x:f>
        <x:v>0.8343855728725592</x:v>
      </x:c>
      <x:c r="AN84" s="16" t="n">
        <x:f>IF(M84="Three Phase",U84/3,IF(N84="B",U84,0))</x:f>
        <x:v>2.1631921666666667</x:v>
      </x:c>
      <x:c r="AO84" s="16" t="n">
        <x:f>IF(M84="Three Phase",V84/3,IF(N84="B",V84,0))</x:f>
        <x:v>0.8343855728725592</x:v>
      </x:c>
    </x:row>
    <x:row r="85">
      <x:c r="A85" s="13" t="str">
        <x:v>C0084</x:v>
      </x:c>
      <x:c r="B85" s="13" t="str">
        <x:v>DT-6</x:v>
      </x:c>
      <x:c r="C85" s="13" t="str">
        <x:v>Commercial</x:v>
      </x:c>
      <x:c r="D85" s="16" t="n">
        <x:v>17.5</x:v>
      </x:c>
      <x:c r="E85" s="16" t="n">
        <x:v>0.612</x:v>
      </x:c>
      <x:c r="F85" s="16" t="n">
        <x:f>D85*E85</x:f>
        <x:v>10.709999999999999</x:v>
      </x:c>
      <x:c r="G85" s="16" t="n">
        <x:v>0.945</x:v>
      </x:c>
      <x:c r="H85" s="16" t="n">
        <x:f>F85/G85</x:f>
        <x:v>11.333333333333332</x:v>
      </x:c>
      <x:c r="I85" s="16" t="n">
        <x:v>0.737</x:v>
      </x:c>
      <x:c r="J85" s="16" t="n">
        <x:f>F85*I85</x:f>
        <x:v>7.893269999999999</x:v>
      </x:c>
      <x:c r="K85" s="16" t="n">
        <x:f>J85*TAN(ACOS(G85))</x:f>
        <x:v>2.7319094332617344</x:v>
      </x:c>
      <x:c r="L85" s="16" t="n">
        <x:f>SQRT(J85^2+K85^2)</x:f>
        <x:v>8.352666666666666</x:v>
      </x:c>
      <x:c r="M85" s="16" t="str">
        <x:v>Three Phase</x:v>
      </x:c>
      <x:c r="N85" s="16" t="str">
        <x:v>RYB</x:v>
      </x:c>
      <x:c r="O85" s="16" t="str">
        <x:v>No</x:v>
      </x:c>
      <x:c r="P85" s="16" t="n">
        <x:v>0</x:v>
      </x:c>
      <x:c r="Q85" s="16" t="n">
        <x:v>0.489</x:v>
      </x:c>
      <x:c r="R85" s="16" t="n">
        <x:v>0</x:v>
      </x:c>
      <x:c r="S85" s="16" t="n">
        <x:f>F85*Q85</x:f>
        <x:v>5.237189999999999</x:v>
      </x:c>
      <x:c r="T85" s="16" t="n">
        <x:f>IF(O85="Yes",P85*R85,0)</x:f>
        <x:v>0</x:v>
      </x:c>
      <x:c r="U85" s="16" t="n">
        <x:f>S85-T85</x:f>
        <x:v>5.237189999999999</x:v>
      </x:c>
      <x:c r="V85" s="16" t="n">
        <x:f>S85*TAN(ACOS(G85))</x:f>
        <x:v>1.8126237623676906</x:v>
      </x:c>
      <x:c r="W85" s="16" t="n">
        <x:f>SQRT(U85^2+V85^2)</x:f>
        <x:v>5.541999999999999</x:v>
      </x:c>
      <x:c r="X85" s="13" t="str">
        <x:v>No</x:v>
      </x:c>
      <x:c r="Y85" s="13" t="str"/>
      <x:c r="Z85" s="18" t="str"/>
      <x:c r="AA85" s="13" t="str"/>
      <x:c r="AB85" s="18" t="str"/>
      <x:c r="AC85" s="13" t="str">
        <x:v>No</x:v>
      </x:c>
      <x:c r="AD85" s="16" t="n">
        <x:f>IF(M85="Three Phase",J85/3,IF(N85="R",J85,0))</x:f>
        <x:v>2.63109</x:v>
      </x:c>
      <x:c r="AE85" s="16" t="n">
        <x:f>IF(M85="Three Phase",K85/3,IF(N85="R",K85,0))</x:f>
        <x:v>0.9106364777539114</x:v>
      </x:c>
      <x:c r="AF85" s="16" t="n">
        <x:f>IF(M85="Three Phase",J85/3,IF(N85="Y",J85,0))</x:f>
        <x:v>2.63109</x:v>
      </x:c>
      <x:c r="AG85" s="16" t="n">
        <x:f>IF(M85="Three Phase",K85/3,IF(N85="Y",K85,0))</x:f>
        <x:v>0.9106364777539114</x:v>
      </x:c>
      <x:c r="AH85" s="16" t="n">
        <x:f>IF(M85="Three Phase",J85/3,IF(N85="B",J85,0))</x:f>
        <x:v>2.63109</x:v>
      </x:c>
      <x:c r="AI85" s="16" t="n">
        <x:f>IF(M85="Three Phase",K85/3,IF(N85="B",K85,0))</x:f>
        <x:v>0.9106364777539114</x:v>
      </x:c>
      <x:c r="AJ85" s="16" t="n">
        <x:f>IF(M85="Three Phase",U85/3,IF(N85="R",U85,0))</x:f>
        <x:v>1.7457299999999998</x:v>
      </x:c>
      <x:c r="AK85" s="16" t="n">
        <x:f>IF(M85="Three Phase",V85/3,IF(N85="R",V85,0))</x:f>
        <x:v>0.6042079207892302</x:v>
      </x:c>
      <x:c r="AL85" s="16" t="n">
        <x:f>IF(M85="Three Phase",U85/3,IF(N85="Y",U85,0))</x:f>
        <x:v>1.7457299999999998</x:v>
      </x:c>
      <x:c r="AM85" s="16" t="n">
        <x:f>IF(M85="Three Phase",V85/3,IF(N85="Y",V85,0))</x:f>
        <x:v>0.6042079207892302</x:v>
      </x:c>
      <x:c r="AN85" s="16" t="n">
        <x:f>IF(M85="Three Phase",U85/3,IF(N85="B",U85,0))</x:f>
        <x:v>1.7457299999999998</x:v>
      </x:c>
      <x:c r="AO85" s="16" t="n">
        <x:f>IF(M85="Three Phase",V85/3,IF(N85="B",V85,0))</x:f>
        <x:v>0.6042079207892302</x:v>
      </x:c>
    </x:row>
    <x:row r="86">
      <x:c r="A86" s="13" t="str">
        <x:v>C0085</x:v>
      </x:c>
      <x:c r="B86" s="13" t="str">
        <x:v>DT-6</x:v>
      </x:c>
      <x:c r="C86" s="13" t="str">
        <x:v>Residential</x:v>
      </x:c>
      <x:c r="D86" s="16" t="n">
        <x:v>2.5</x:v>
      </x:c>
      <x:c r="E86" s="16" t="n">
        <x:v>0.644</x:v>
      </x:c>
      <x:c r="F86" s="16" t="n">
        <x:f>D86*E86</x:f>
        <x:v>1.61</x:v>
      </x:c>
      <x:c r="G86" s="16" t="n">
        <x:v>0.959</x:v>
      </x:c>
      <x:c r="H86" s="16" t="n">
        <x:f>F86/G86</x:f>
        <x:v>1.6788321167883213</x:v>
      </x:c>
      <x:c r="I86" s="16" t="n">
        <x:v>0.769</x:v>
      </x:c>
      <x:c r="J86" s="16" t="n">
        <x:f>F86*I86</x:f>
        <x:v>1.2380900000000001</x:v>
      </x:c>
      <x:c r="K86" s="16" t="n">
        <x:f>J86*TAN(ACOS(G86))</x:f>
        <x:v>0.36588344117423466</x:v>
      </x:c>
      <x:c r="L86" s="16" t="n">
        <x:f>SQRT(J86^2+K86^2)</x:f>
        <x:v>1.291021897810219</x:v>
      </x:c>
      <x:c r="M86" s="16" t="str">
        <x:v>Single Phase</x:v>
      </x:c>
      <x:c r="N86" s="16" t="str">
        <x:v>R</x:v>
      </x:c>
      <x:c r="O86" s="16" t="str">
        <x:v>Yes</x:v>
      </x:c>
      <x:c r="P86" s="16" t="n">
        <x:v>2</x:v>
      </x:c>
      <x:c r="Q86" s="16" t="n">
        <x:v>0.337</x:v>
      </x:c>
      <x:c r="R86" s="16" t="n">
        <x:v>0.821</x:v>
      </x:c>
      <x:c r="S86" s="16" t="n">
        <x:f>F86*Q86</x:f>
        <x:v>0.5425700000000001</x:v>
      </x:c>
      <x:c r="T86" s="16" t="n">
        <x:f>IF(O86="Yes",P86*R86,0)</x:f>
        <x:v>1.642</x:v>
      </x:c>
      <x:c r="U86" s="16" t="n">
        <x:f>S86-T86</x:f>
        <x:v>-1.09943</x:v>
      </x:c>
      <x:c r="V86" s="16" t="n">
        <x:f>S86*TAN(ACOS(G86))</x:f>
        <x:v>0.1603416380698532</x:v>
      </x:c>
      <x:c r="W86" s="16" t="n">
        <x:f>SQRT(U86^2+V86^2)</x:f>
        <x:v>1.111060649019181</x:v>
      </x:c>
      <x:c r="X86" s="13" t="str">
        <x:v>No</x:v>
      </x:c>
      <x:c r="Y86" s="13" t="str"/>
      <x:c r="Z86" s="18" t="str"/>
      <x:c r="AA86" s="13" t="str"/>
      <x:c r="AB86" s="18" t="str"/>
      <x:c r="AC86" s="13" t="str">
        <x:v>Yes</x:v>
      </x:c>
      <x:c r="AD86" s="16" t="n">
        <x:f>IF(M86="Three Phase",J86/3,IF(N86="R",J86,0))</x:f>
        <x:v>1.2380900000000001</x:v>
      </x:c>
      <x:c r="AE86" s="16" t="n">
        <x:f>IF(M86="Three Phase",K86/3,IF(N86="R",K86,0))</x:f>
        <x:v>0.36588344117423466</x:v>
      </x:c>
      <x:c r="AF86" s="16" t="n">
        <x:f>IF(M86="Three Phase",J86/3,IF(N86="Y",J86,0))</x:f>
        <x:v>0</x:v>
      </x:c>
      <x:c r="AG86" s="16" t="n">
        <x:f>IF(M86="Three Phase",K86/3,IF(N86="Y",K86,0))</x:f>
        <x:v>0</x:v>
      </x:c>
      <x:c r="AH86" s="16" t="n">
        <x:f>IF(M86="Three Phase",J86/3,IF(N86="B",J86,0))</x:f>
        <x:v>0</x:v>
      </x:c>
      <x:c r="AI86" s="16" t="n">
        <x:f>IF(M86="Three Phase",K86/3,IF(N86="B",K86,0))</x:f>
        <x:v>0</x:v>
      </x:c>
      <x:c r="AJ86" s="16" t="n">
        <x:f>IF(M86="Three Phase",U86/3,IF(N86="R",U86,0))</x:f>
        <x:v>-1.09943</x:v>
      </x:c>
      <x:c r="AK86" s="16" t="n">
        <x:f>IF(M86="Three Phase",V86/3,IF(N86="R",V86,0))</x:f>
        <x:v>0.1603416380698532</x:v>
      </x:c>
      <x:c r="AL86" s="16" t="n">
        <x:f>IF(M86="Three Phase",U86/3,IF(N86="Y",U86,0))</x:f>
        <x:v>0</x:v>
      </x:c>
      <x:c r="AM86" s="16" t="n">
        <x:f>IF(M86="Three Phase",V86/3,IF(N86="Y",V86,0))</x:f>
        <x:v>0</x:v>
      </x:c>
      <x:c r="AN86" s="16" t="n">
        <x:f>IF(M86="Three Phase",U86/3,IF(N86="B",U86,0))</x:f>
        <x:v>0</x:v>
      </x:c>
      <x:c r="AO86" s="16" t="n">
        <x:f>IF(M86="Three Phase",V86/3,IF(N86="B",V86,0))</x:f>
        <x:v>0</x:v>
      </x:c>
    </x:row>
    <x:row r="87">
      <x:c r="A87" s="13" t="str">
        <x:v>C0086</x:v>
      </x:c>
      <x:c r="B87" s="13" t="str">
        <x:v>DT-6</x:v>
      </x:c>
      <x:c r="C87" s="13" t="str">
        <x:v>Residential</x:v>
      </x:c>
      <x:c r="D87" s="16" t="n">
        <x:v>2.5</x:v>
      </x:c>
      <x:c r="E87" s="16" t="n">
        <x:v>0.709</x:v>
      </x:c>
      <x:c r="F87" s="16" t="n">
        <x:f>D87*E87</x:f>
        <x:v>1.7725</x:v>
      </x:c>
      <x:c r="G87" s="16" t="n">
        <x:v>0.974</x:v>
      </x:c>
      <x:c r="H87" s="16" t="n">
        <x:f>F87/G87</x:f>
        <x:v>1.8198151950718686</x:v>
      </x:c>
      <x:c r="I87" s="16" t="n">
        <x:v>0.849</x:v>
      </x:c>
      <x:c r="J87" s="16" t="n">
        <x:f>F87*I87</x:f>
        <x:v>1.5048525</x:v>
      </x:c>
      <x:c r="K87" s="16" t="n">
        <x:f>J87*TAN(ACOS(G87))</x:f>
        <x:v>0.35002190600143773</x:v>
      </x:c>
      <x:c r="L87" s="16" t="n">
        <x:f>SQRT(J87^2+K87^2)</x:f>
        <x:v>1.5450231006160164</x:v>
      </x:c>
      <x:c r="M87" s="16" t="str">
        <x:v>Single Phase</x:v>
      </x:c>
      <x:c r="N87" s="16" t="str">
        <x:v>B</x:v>
      </x:c>
      <x:c r="O87" s="16" t="str">
        <x:v>No</x:v>
      </x:c>
      <x:c r="P87" s="16" t="n">
        <x:v>0</x:v>
      </x:c>
      <x:c r="Q87" s="16" t="n">
        <x:v>0.422</x:v>
      </x:c>
      <x:c r="R87" s="16" t="n">
        <x:v>0</x:v>
      </x:c>
      <x:c r="S87" s="16" t="n">
        <x:f>F87*Q87</x:f>
        <x:v>0.747995</x:v>
      </x:c>
      <x:c r="T87" s="16" t="n">
        <x:f>IF(O87="Yes",P87*R87,0)</x:f>
        <x:v>0</x:v>
      </x:c>
      <x:c r="U87" s="16" t="n">
        <x:f>S87-T87</x:f>
        <x:v>0.747995</x:v>
      </x:c>
      <x:c r="V87" s="16" t="n">
        <x:f>S87*TAN(ACOS(G87))</x:f>
        <x:v>0.17398026423157448</x:v>
      </x:c>
      <x:c r="W87" s="16" t="n">
        <x:f>SQRT(U87^2+V87^2)</x:f>
        <x:v>0.7679620123203286</x:v>
      </x:c>
      <x:c r="X87" s="13" t="str">
        <x:v>Yes</x:v>
      </x:c>
      <x:c r="Y87" s="13" t="str">
        <x:v>DT-8</x:v>
      </x:c>
      <x:c r="Z87" s="18" t="n">
        <x:v>24</x:v>
      </x:c>
      <x:c r="AA87" s="13" t="str">
        <x:v>DT-5</x:v>
      </x:c>
      <x:c r="AB87" s="18" t="n">
        <x:v>75</x:v>
      </x:c>
      <x:c r="AC87" s="13" t="str">
        <x:v>No</x:v>
      </x:c>
      <x:c r="AD87" s="16" t="n">
        <x:f>IF(M87="Three Phase",J87/3,IF(N87="R",J87,0))</x:f>
        <x:v>0</x:v>
      </x:c>
      <x:c r="AE87" s="16" t="n">
        <x:f>IF(M87="Three Phase",K87/3,IF(N87="R",K87,0))</x:f>
        <x:v>0</x:v>
      </x:c>
      <x:c r="AF87" s="16" t="n">
        <x:f>IF(M87="Three Phase",J87/3,IF(N87="Y",J87,0))</x:f>
        <x:v>0</x:v>
      </x:c>
      <x:c r="AG87" s="16" t="n">
        <x:f>IF(M87="Three Phase",K87/3,IF(N87="Y",K87,0))</x:f>
        <x:v>0</x:v>
      </x:c>
      <x:c r="AH87" s="16" t="n">
        <x:f>IF(M87="Three Phase",J87/3,IF(N87="B",J87,0))</x:f>
        <x:v>1.5048525</x:v>
      </x:c>
      <x:c r="AI87" s="16" t="n">
        <x:f>IF(M87="Three Phase",K87/3,IF(N87="B",K87,0))</x:f>
        <x:v>0.35002190600143773</x:v>
      </x:c>
      <x:c r="AJ87" s="16" t="n">
        <x:f>IF(M87="Three Phase",U87/3,IF(N87="R",U87,0))</x:f>
        <x:v>0</x:v>
      </x:c>
      <x:c r="AK87" s="16" t="n">
        <x:f>IF(M87="Three Phase",V87/3,IF(N87="R",V87,0))</x:f>
        <x:v>0</x:v>
      </x:c>
      <x:c r="AL87" s="16" t="n">
        <x:f>IF(M87="Three Phase",U87/3,IF(N87="Y",U87,0))</x:f>
        <x:v>0</x:v>
      </x:c>
      <x:c r="AM87" s="16" t="n">
        <x:f>IF(M87="Three Phase",V87/3,IF(N87="Y",V87,0))</x:f>
        <x:v>0</x:v>
      </x:c>
      <x:c r="AN87" s="16" t="n">
        <x:f>IF(M87="Three Phase",U87/3,IF(N87="B",U87,0))</x:f>
        <x:v>0.747995</x:v>
      </x:c>
      <x:c r="AO87" s="16" t="n">
        <x:f>IF(M87="Three Phase",V87/3,IF(N87="B",V87,0))</x:f>
        <x:v>0.17398026423157448</x:v>
      </x:c>
    </x:row>
    <x:row r="88">
      <x:c r="A88" s="13" t="str">
        <x:v>C0087</x:v>
      </x:c>
      <x:c r="B88" s="13" t="str">
        <x:v>DT-6</x:v>
      </x:c>
      <x:c r="C88" s="13" t="str">
        <x:v>Industrial</x:v>
      </x:c>
      <x:c r="D88" s="16" t="n">
        <x:v>28.5</x:v>
      </x:c>
      <x:c r="E88" s="16" t="n">
        <x:v>0.71</x:v>
      </x:c>
      <x:c r="F88" s="16" t="n">
        <x:f>D88*E88</x:f>
        <x:v>20.235</x:v>
      </x:c>
      <x:c r="G88" s="16" t="n">
        <x:v>0.989</x:v>
      </x:c>
      <x:c r="H88" s="16" t="n">
        <x:f>F88/G88</x:f>
        <x:v>20.46006066734075</x:v>
      </x:c>
      <x:c r="I88" s="16" t="n">
        <x:v>0.795</x:v>
      </x:c>
      <x:c r="J88" s="16" t="n">
        <x:f>F88*I88</x:f>
        <x:v>16.086825</x:v>
      </x:c>
      <x:c r="K88" s="16" t="n">
        <x:f>J88*TAN(ACOS(G88))</x:f>
        <x:v>2.4059565495986415</x:v>
      </x:c>
      <x:c r="L88" s="16" t="n">
        <x:f>SQRT(J88^2+K88^2)</x:f>
        <x:v>16.265748230535895</x:v>
      </x:c>
      <x:c r="M88" s="16" t="str">
        <x:v>Three Phase</x:v>
      </x:c>
      <x:c r="N88" s="16" t="str">
        <x:v>RYB</x:v>
      </x:c>
      <x:c r="O88" s="16" t="str">
        <x:v>No</x:v>
      </x:c>
      <x:c r="P88" s="16" t="n">
        <x:v>0</x:v>
      </x:c>
      <x:c r="Q88" s="16" t="n">
        <x:v>0.854</x:v>
      </x:c>
      <x:c r="R88" s="16" t="n">
        <x:v>0</x:v>
      </x:c>
      <x:c r="S88" s="16" t="n">
        <x:f>F88*Q88</x:f>
        <x:v>17.28069</x:v>
      </x:c>
      <x:c r="T88" s="16" t="n">
        <x:f>IF(O88="Yes",P88*R88,0)</x:f>
        <x:v>0</x:v>
      </x:c>
      <x:c r="U88" s="16" t="n">
        <x:f>S88-T88</x:f>
        <x:v>17.28069</x:v>
      </x:c>
      <x:c r="V88" s="16" t="n">
        <x:f>S88*TAN(ACOS(G88))</x:f>
        <x:v>2.584511815543698</x:v>
      </x:c>
      <x:c r="W88" s="16" t="n">
        <x:f>SQRT(U88^2+V88^2)</x:f>
        <x:v>17.472891809908997</x:v>
      </x:c>
      <x:c r="X88" s="13" t="str">
        <x:v>No</x:v>
      </x:c>
      <x:c r="Y88" s="13" t="str"/>
      <x:c r="Z88" s="18" t="str"/>
      <x:c r="AA88" s="13" t="str"/>
      <x:c r="AB88" s="18" t="str"/>
      <x:c r="AC88" s="13" t="str">
        <x:v>No</x:v>
      </x:c>
      <x:c r="AD88" s="16" t="n">
        <x:f>IF(M88="Three Phase",J88/3,IF(N88="R",J88,0))</x:f>
        <x:v>5.362275</x:v>
      </x:c>
      <x:c r="AE88" s="16" t="n">
        <x:f>IF(M88="Three Phase",K88/3,IF(N88="R",K88,0))</x:f>
        <x:v>0.8019855165328805</x:v>
      </x:c>
      <x:c r="AF88" s="16" t="n">
        <x:f>IF(M88="Three Phase",J88/3,IF(N88="Y",J88,0))</x:f>
        <x:v>5.362275</x:v>
      </x:c>
      <x:c r="AG88" s="16" t="n">
        <x:f>IF(M88="Three Phase",K88/3,IF(N88="Y",K88,0))</x:f>
        <x:v>0.8019855165328805</x:v>
      </x:c>
      <x:c r="AH88" s="16" t="n">
        <x:f>IF(M88="Three Phase",J88/3,IF(N88="B",J88,0))</x:f>
        <x:v>5.362275</x:v>
      </x:c>
      <x:c r="AI88" s="16" t="n">
        <x:f>IF(M88="Three Phase",K88/3,IF(N88="B",K88,0))</x:f>
        <x:v>0.8019855165328805</x:v>
      </x:c>
      <x:c r="AJ88" s="16" t="n">
        <x:f>IF(M88="Three Phase",U88/3,IF(N88="R",U88,0))</x:f>
        <x:v>5.76023</x:v>
      </x:c>
      <x:c r="AK88" s="16" t="n">
        <x:f>IF(M88="Three Phase",V88/3,IF(N88="R",V88,0))</x:f>
        <x:v>0.861503938514566</x:v>
      </x:c>
      <x:c r="AL88" s="16" t="n">
        <x:f>IF(M88="Three Phase",U88/3,IF(N88="Y",U88,0))</x:f>
        <x:v>5.76023</x:v>
      </x:c>
      <x:c r="AM88" s="16" t="n">
        <x:f>IF(M88="Three Phase",V88/3,IF(N88="Y",V88,0))</x:f>
        <x:v>0.861503938514566</x:v>
      </x:c>
      <x:c r="AN88" s="16" t="n">
        <x:f>IF(M88="Three Phase",U88/3,IF(N88="B",U88,0))</x:f>
        <x:v>5.76023</x:v>
      </x:c>
      <x:c r="AO88" s="16" t="n">
        <x:f>IF(M88="Three Phase",V88/3,IF(N88="B",V88,0))</x:f>
        <x:v>0.861503938514566</x:v>
      </x:c>
    </x:row>
    <x:row r="89">
      <x:c r="A89" s="13" t="str">
        <x:v>C0088</x:v>
      </x:c>
      <x:c r="B89" s="13" t="str">
        <x:v>DT-6</x:v>
      </x:c>
      <x:c r="C89" s="13" t="str">
        <x:v>Residential</x:v>
      </x:c>
      <x:c r="D89" s="16" t="n">
        <x:v>2</x:v>
      </x:c>
      <x:c r="E89" s="16" t="n">
        <x:v>0.457</x:v>
      </x:c>
      <x:c r="F89" s="16" t="n">
        <x:f>D89*E89</x:f>
        <x:v>0.914</x:v>
      </x:c>
      <x:c r="G89" s="16" t="n">
        <x:v>0.907</x:v>
      </x:c>
      <x:c r="H89" s="16" t="n">
        <x:f>F89/G89</x:f>
        <x:v>1.007717750826902</x:v>
      </x:c>
      <x:c r="I89" s="16" t="n">
        <x:v>0.993</x:v>
      </x:c>
      <x:c r="J89" s="16" t="n">
        <x:f>F89*I89</x:f>
        <x:v>0.907602</x:v>
      </x:c>
      <x:c r="K89" s="16" t="n">
        <x:f>J89*TAN(ACOS(G89))</x:f>
        <x:v>0.42141013664978244</x:v>
      </x:c>
      <x:c r="L89" s="16" t="n">
        <x:f>SQRT(J89^2+K89^2)</x:f>
        <x:v>1.0006637265711136</x:v>
      </x:c>
      <x:c r="M89" s="16" t="str">
        <x:v>Single Phase</x:v>
      </x:c>
      <x:c r="N89" s="16" t="str">
        <x:v>Y</x:v>
      </x:c>
      <x:c r="O89" s="16" t="str">
        <x:v>No</x:v>
      </x:c>
      <x:c r="P89" s="16" t="n">
        <x:v>0</x:v>
      </x:c>
      <x:c r="Q89" s="16" t="n">
        <x:v>0.493</x:v>
      </x:c>
      <x:c r="R89" s="16" t="n">
        <x:v>0</x:v>
      </x:c>
      <x:c r="S89" s="16" t="n">
        <x:f>F89*Q89</x:f>
        <x:v>0.450602</x:v>
      </x:c>
      <x:c r="T89" s="16" t="n">
        <x:f>IF(O89="Yes",P89*R89,0)</x:f>
        <x:v>0</x:v>
      </x:c>
      <x:c r="U89" s="16" t="n">
        <x:f>S89-T89</x:f>
        <x:v>0.450602</x:v>
      </x:c>
      <x:c r="V89" s="16" t="n">
        <x:f>S89*TAN(ACOS(G89))</x:f>
        <x:v>0.20921973551696146</x:v>
      </x:c>
      <x:c r="W89" s="16" t="n">
        <x:f>SQRT(U89^2+V89^2)</x:f>
        <x:v>0.4968048511576626</x:v>
      </x:c>
      <x:c r="X89" s="13" t="str">
        <x:v>Yes</x:v>
      </x:c>
      <x:c r="Y89" s="13" t="str">
        <x:v>DT-5</x:v>
      </x:c>
      <x:c r="Z89" s="18" t="n">
        <x:v>38</x:v>
      </x:c>
      <x:c r="AA89" s="13" t="str">
        <x:v>DT-8</x:v>
      </x:c>
      <x:c r="AB89" s="18" t="n">
        <x:v>80</x:v>
      </x:c>
      <x:c r="AC89" s="13" t="str">
        <x:v>Yes</x:v>
      </x:c>
      <x:c r="AD89" s="16" t="n">
        <x:f>IF(M89="Three Phase",J89/3,IF(N89="R",J89,0))</x:f>
        <x:v>0</x:v>
      </x:c>
      <x:c r="AE89" s="16" t="n">
        <x:f>IF(M89="Three Phase",K89/3,IF(N89="R",K89,0))</x:f>
        <x:v>0</x:v>
      </x:c>
      <x:c r="AF89" s="16" t="n">
        <x:f>IF(M89="Three Phase",J89/3,IF(N89="Y",J89,0))</x:f>
        <x:v>0.907602</x:v>
      </x:c>
      <x:c r="AG89" s="16" t="n">
        <x:f>IF(M89="Three Phase",K89/3,IF(N89="Y",K89,0))</x:f>
        <x:v>0.42141013664978244</x:v>
      </x:c>
      <x:c r="AH89" s="16" t="n">
        <x:f>IF(M89="Three Phase",J89/3,IF(N89="B",J89,0))</x:f>
        <x:v>0</x:v>
      </x:c>
      <x:c r="AI89" s="16" t="n">
        <x:f>IF(M89="Three Phase",K89/3,IF(N89="B",K89,0))</x:f>
        <x:v>0</x:v>
      </x:c>
      <x:c r="AJ89" s="16" t="n">
        <x:f>IF(M89="Three Phase",U89/3,IF(N89="R",U89,0))</x:f>
        <x:v>0</x:v>
      </x:c>
      <x:c r="AK89" s="16" t="n">
        <x:f>IF(M89="Three Phase",V89/3,IF(N89="R",V89,0))</x:f>
        <x:v>0</x:v>
      </x:c>
      <x:c r="AL89" s="16" t="n">
        <x:f>IF(M89="Three Phase",U89/3,IF(N89="Y",U89,0))</x:f>
        <x:v>0.450602</x:v>
      </x:c>
      <x:c r="AM89" s="16" t="n">
        <x:f>IF(M89="Three Phase",V89/3,IF(N89="Y",V89,0))</x:f>
        <x:v>0.20921973551696146</x:v>
      </x:c>
      <x:c r="AN89" s="16" t="n">
        <x:f>IF(M89="Three Phase",U89/3,IF(N89="B",U89,0))</x:f>
        <x:v>0</x:v>
      </x:c>
      <x:c r="AO89" s="16" t="n">
        <x:f>IF(M89="Three Phase",V89/3,IF(N89="B",V89,0))</x:f>
        <x:v>0</x:v>
      </x:c>
    </x:row>
    <x:row r="90">
      <x:c r="A90" s="13" t="str">
        <x:v>C0089</x:v>
      </x:c>
      <x:c r="B90" s="13" t="str">
        <x:v>DT-6</x:v>
      </x:c>
      <x:c r="C90" s="13" t="str">
        <x:v>Residential</x:v>
      </x:c>
      <x:c r="D90" s="16" t="n">
        <x:v>2.5</x:v>
      </x:c>
      <x:c r="E90" s="16" t="n">
        <x:v>0.517</x:v>
      </x:c>
      <x:c r="F90" s="16" t="n">
        <x:f>D90*E90</x:f>
        <x:v>1.2925</x:v>
      </x:c>
      <x:c r="G90" s="16" t="n">
        <x:v>0.931</x:v>
      </x:c>
      <x:c r="H90" s="16" t="n">
        <x:f>F90/G90</x:f>
        <x:v>1.3882921589688506</x:v>
      </x:c>
      <x:c r="I90" s="16" t="n">
        <x:v>0.982</x:v>
      </x:c>
      <x:c r="J90" s="16" t="n">
        <x:f>F90*I90</x:f>
        <x:v>1.269235</x:v>
      </x:c>
      <x:c r="K90" s="16" t="n">
        <x:f>J90*TAN(ACOS(G90))</x:f>
        <x:v>0.4976317033874332</x:v>
      </x:c>
      <x:c r="L90" s="16" t="n">
        <x:f>SQRT(J90^2+K90^2)</x:f>
        <x:v>1.3633029001074113</x:v>
      </x:c>
      <x:c r="M90" s="16" t="str">
        <x:v>Single Phase</x:v>
      </x:c>
      <x:c r="N90" s="16" t="str">
        <x:v>B</x:v>
      </x:c>
      <x:c r="O90" s="16" t="str">
        <x:v>No</x:v>
      </x:c>
      <x:c r="P90" s="16" t="n">
        <x:v>0</x:v>
      </x:c>
      <x:c r="Q90" s="16" t="n">
        <x:v>0.292</x:v>
      </x:c>
      <x:c r="R90" s="16" t="n">
        <x:v>0</x:v>
      </x:c>
      <x:c r="S90" s="16" t="n">
        <x:f>F90*Q90</x:f>
        <x:v>0.37740999999999997</x:v>
      </x:c>
      <x:c r="T90" s="16" t="n">
        <x:f>IF(O90="Yes",P90*R90,0)</x:f>
        <x:v>0</x:v>
      </x:c>
      <x:c r="U90" s="16" t="n">
        <x:f>S90-T90</x:f>
        <x:v>0.37740999999999997</x:v>
      </x:c>
      <x:c r="V90" s="16" t="n">
        <x:f>S90*TAN(ACOS(G90))</x:f>
        <x:v>0.1479719525347561</x:v>
      </x:c>
      <x:c r="W90" s="16" t="n">
        <x:f>SQRT(U90^2+V90^2)</x:f>
        <x:v>0.40538131041890435</x:v>
      </x:c>
      <x:c r="X90" s="13" t="str">
        <x:v>No</x:v>
      </x:c>
      <x:c r="Y90" s="13" t="str"/>
      <x:c r="Z90" s="18" t="str"/>
      <x:c r="AA90" s="13" t="str"/>
      <x:c r="AB90" s="18" t="str"/>
      <x:c r="AC90" s="13" t="str">
        <x:v>No</x:v>
      </x:c>
      <x:c r="AD90" s="16" t="n">
        <x:f>IF(M90="Three Phase",J90/3,IF(N90="R",J90,0))</x:f>
        <x:v>0</x:v>
      </x:c>
      <x:c r="AE90" s="16" t="n">
        <x:f>IF(M90="Three Phase",K90/3,IF(N90="R",K90,0))</x:f>
        <x:v>0</x:v>
      </x:c>
      <x:c r="AF90" s="16" t="n">
        <x:f>IF(M90="Three Phase",J90/3,IF(N90="Y",J90,0))</x:f>
        <x:v>0</x:v>
      </x:c>
      <x:c r="AG90" s="16" t="n">
        <x:f>IF(M90="Three Phase",K90/3,IF(N90="Y",K90,0))</x:f>
        <x:v>0</x:v>
      </x:c>
      <x:c r="AH90" s="16" t="n">
        <x:f>IF(M90="Three Phase",J90/3,IF(N90="B",J90,0))</x:f>
        <x:v>1.269235</x:v>
      </x:c>
      <x:c r="AI90" s="16" t="n">
        <x:f>IF(M90="Three Phase",K90/3,IF(N90="B",K90,0))</x:f>
        <x:v>0.4976317033874332</x:v>
      </x:c>
      <x:c r="AJ90" s="16" t="n">
        <x:f>IF(M90="Three Phase",U90/3,IF(N90="R",U90,0))</x:f>
        <x:v>0</x:v>
      </x:c>
      <x:c r="AK90" s="16" t="n">
        <x:f>IF(M90="Three Phase",V90/3,IF(N90="R",V90,0))</x:f>
        <x:v>0</x:v>
      </x:c>
      <x:c r="AL90" s="16" t="n">
        <x:f>IF(M90="Three Phase",U90/3,IF(N90="Y",U90,0))</x:f>
        <x:v>0</x:v>
      </x:c>
      <x:c r="AM90" s="16" t="n">
        <x:f>IF(M90="Three Phase",V90/3,IF(N90="Y",V90,0))</x:f>
        <x:v>0</x:v>
      </x:c>
      <x:c r="AN90" s="16" t="n">
        <x:f>IF(M90="Three Phase",U90/3,IF(N90="B",U90,0))</x:f>
        <x:v>0.37740999999999997</x:v>
      </x:c>
      <x:c r="AO90" s="16" t="n">
        <x:f>IF(M90="Three Phase",V90/3,IF(N90="B",V90,0))</x:f>
        <x:v>0.1479719525347561</x:v>
      </x:c>
    </x:row>
    <x:row r="91">
      <x:c r="A91" s="13" t="str">
        <x:v>C0090</x:v>
      </x:c>
      <x:c r="B91" s="13" t="str">
        <x:v>DT-6</x:v>
      </x:c>
      <x:c r="C91" s="13" t="str">
        <x:v>Commercial</x:v>
      </x:c>
      <x:c r="D91" s="16" t="n">
        <x:v>8</x:v>
      </x:c>
      <x:c r="E91" s="16" t="n">
        <x:v>0.706</x:v>
      </x:c>
      <x:c r="F91" s="16" t="n">
        <x:f>D91*E91</x:f>
        <x:v>5.648</x:v>
      </x:c>
      <x:c r="G91" s="16" t="n">
        <x:v>0.975</x:v>
      </x:c>
      <x:c r="H91" s="16" t="n">
        <x:f>F91/G91</x:f>
        <x:v>5.792820512820513</x:v>
      </x:c>
      <x:c r="I91" s="16" t="n">
        <x:v>0.872</x:v>
      </x:c>
      <x:c r="J91" s="16" t="n">
        <x:f>F91*I91</x:f>
        <x:v>4.925056</x:v>
      </x:c>
      <x:c r="K91" s="16" t="n">
        <x:f>J91*TAN(ACOS(G91))</x:f>
        <x:v>1.1224321857478632</x:v>
      </x:c>
      <x:c r="L91" s="16" t="n">
        <x:f>SQRT(J91^2+K91^2)</x:f>
        <x:v>5.051339487179487</x:v>
      </x:c>
      <x:c r="M91" s="16" t="str">
        <x:v>Three Phase</x:v>
      </x:c>
      <x:c r="N91" s="16" t="str">
        <x:v>RYB</x:v>
      </x:c>
      <x:c r="O91" s="16" t="str">
        <x:v>No</x:v>
      </x:c>
      <x:c r="P91" s="16" t="n">
        <x:v>0</x:v>
      </x:c>
      <x:c r="Q91" s="16" t="n">
        <x:v>0.751</x:v>
      </x:c>
      <x:c r="R91" s="16" t="n">
        <x:v>0</x:v>
      </x:c>
      <x:c r="S91" s="16" t="n">
        <x:f>F91*Q91</x:f>
        <x:v>4.241648</x:v>
      </x:c>
      <x:c r="T91" s="16" t="n">
        <x:f>IF(O91="Yes",P91*R91,0)</x:f>
        <x:v>0</x:v>
      </x:c>
      <x:c r="U91" s="16" t="n">
        <x:f>S91-T91</x:f>
        <x:v>4.241648</x:v>
      </x:c>
      <x:c r="V91" s="16" t="n">
        <x:f>S91*TAN(ACOS(G91))</x:f>
        <x:v>0.9666818480466114</x:v>
      </x:c>
      <x:c r="W91" s="16" t="n">
        <x:f>SQRT(U91^2+V91^2)</x:f>
        <x:v>4.350408205128205</x:v>
      </x:c>
      <x:c r="X91" s="13" t="str">
        <x:v>No</x:v>
      </x:c>
      <x:c r="Y91" s="13" t="str"/>
      <x:c r="Z91" s="18" t="str"/>
      <x:c r="AA91" s="13" t="str"/>
      <x:c r="AB91" s="18" t="str"/>
      <x:c r="AC91" s="13" t="str">
        <x:v>No</x:v>
      </x:c>
      <x:c r="AD91" s="16" t="n">
        <x:f>IF(M91="Three Phase",J91/3,IF(N91="R",J91,0))</x:f>
        <x:v>1.6416853333333332</x:v>
      </x:c>
      <x:c r="AE91" s="16" t="n">
        <x:f>IF(M91="Three Phase",K91/3,IF(N91="R",K91,0))</x:f>
        <x:v>0.3741440619159544</x:v>
      </x:c>
      <x:c r="AF91" s="16" t="n">
        <x:f>IF(M91="Three Phase",J91/3,IF(N91="Y",J91,0))</x:f>
        <x:v>1.6416853333333332</x:v>
      </x:c>
      <x:c r="AG91" s="16" t="n">
        <x:f>IF(M91="Three Phase",K91/3,IF(N91="Y",K91,0))</x:f>
        <x:v>0.3741440619159544</x:v>
      </x:c>
      <x:c r="AH91" s="16" t="n">
        <x:f>IF(M91="Three Phase",J91/3,IF(N91="B",J91,0))</x:f>
        <x:v>1.6416853333333332</x:v>
      </x:c>
      <x:c r="AI91" s="16" t="n">
        <x:f>IF(M91="Three Phase",K91/3,IF(N91="B",K91,0))</x:f>
        <x:v>0.3741440619159544</x:v>
      </x:c>
      <x:c r="AJ91" s="16" t="n">
        <x:f>IF(M91="Three Phase",U91/3,IF(N91="R",U91,0))</x:f>
        <x:v>1.4138826666666666</x:v>
      </x:c>
      <x:c r="AK91" s="16" t="n">
        <x:f>IF(M91="Three Phase",V91/3,IF(N91="R",V91,0))</x:f>
        <x:v>0.3222272826822038</x:v>
      </x:c>
      <x:c r="AL91" s="16" t="n">
        <x:f>IF(M91="Three Phase",U91/3,IF(N91="Y",U91,0))</x:f>
        <x:v>1.4138826666666666</x:v>
      </x:c>
      <x:c r="AM91" s="16" t="n">
        <x:f>IF(M91="Three Phase",V91/3,IF(N91="Y",V91,0))</x:f>
        <x:v>0.3222272826822038</x:v>
      </x:c>
      <x:c r="AN91" s="16" t="n">
        <x:f>IF(M91="Three Phase",U91/3,IF(N91="B",U91,0))</x:f>
        <x:v>1.4138826666666666</x:v>
      </x:c>
      <x:c r="AO91" s="16" t="n">
        <x:f>IF(M91="Three Phase",V91/3,IF(N91="B",V91,0))</x:f>
        <x:v>0.3222272826822038</x:v>
      </x:c>
    </x:row>
    <x:row r="92">
      <x:c r="A92" s="13" t="str">
        <x:v>C0091</x:v>
      </x:c>
      <x:c r="B92" s="13" t="str">
        <x:v>DT-6</x:v>
      </x:c>
      <x:c r="C92" s="13" t="str">
        <x:v>Industrial</x:v>
      </x:c>
      <x:c r="D92" s="16" t="n">
        <x:v>29.5</x:v>
      </x:c>
      <x:c r="E92" s="16" t="n">
        <x:v>0.949</x:v>
      </x:c>
      <x:c r="F92" s="16" t="n">
        <x:f>D92*E92</x:f>
        <x:v>27.9955</x:v>
      </x:c>
      <x:c r="G92" s="16" t="n">
        <x:v>0.917</x:v>
      </x:c>
      <x:c r="H92" s="16" t="n">
        <x:f>F92/G92</x:f>
        <x:v>30.52944383860414</x:v>
      </x:c>
      <x:c r="I92" s="16" t="n">
        <x:v>0.763</x:v>
      </x:c>
      <x:c r="J92" s="16" t="n">
        <x:f>F92*I92</x:f>
        <x:v>21.3605665</x:v>
      </x:c>
      <x:c r="K92" s="16" t="n">
        <x:f>J92*TAN(ACOS(G92))</x:f>
        <x:v>9.29166478350961</x:v>
      </x:c>
      <x:c r="L92" s="16" t="n">
        <x:f>SQRT(J92^2+K92^2)</x:f>
        <x:v>23.29396564885496</x:v>
      </x:c>
      <x:c r="M92" s="16" t="str">
        <x:v>Three Phase</x:v>
      </x:c>
      <x:c r="N92" s="16" t="str">
        <x:v>RYB</x:v>
      </x:c>
      <x:c r="O92" s="16" t="str">
        <x:v>No</x:v>
      </x:c>
      <x:c r="P92" s="16" t="n">
        <x:v>0</x:v>
      </x:c>
      <x:c r="Q92" s="16" t="n">
        <x:v>0.791</x:v>
      </x:c>
      <x:c r="R92" s="16" t="n">
        <x:v>0</x:v>
      </x:c>
      <x:c r="S92" s="16" t="n">
        <x:f>F92*Q92</x:f>
        <x:v>22.1444405</x:v>
      </x:c>
      <x:c r="T92" s="16" t="n">
        <x:f>IF(O92="Yes",P92*R92,0)</x:f>
        <x:v>0</x:v>
      </x:c>
      <x:c r="U92" s="16" t="n">
        <x:f>S92-T92</x:f>
        <x:v>22.1444405</x:v>
      </x:c>
      <x:c r="V92" s="16" t="n">
        <x:f>S92*TAN(ACOS(G92))</x:f>
        <x:v>9.6326433076751</x:v>
      </x:c>
      <x:c r="W92" s="16" t="n">
        <x:f>SQRT(U92^2+V92^2)</x:f>
        <x:v>24.148790076335878</x:v>
      </x:c>
      <x:c r="X92" s="13" t="str">
        <x:v>Yes</x:v>
      </x:c>
      <x:c r="Y92" s="13" t="str">
        <x:v>DT-5</x:v>
      </x:c>
      <x:c r="Z92" s="18" t="n">
        <x:v>86</x:v>
      </x:c>
      <x:c r="AA92" s="13" t="str"/>
      <x:c r="AB92" s="18" t="str"/>
      <x:c r="AC92" s="13" t="str">
        <x:v>No</x:v>
      </x:c>
      <x:c r="AD92" s="16" t="n">
        <x:f>IF(M92="Three Phase",J92/3,IF(N92="R",J92,0))</x:f>
        <x:v>7.120188833333334</x:v>
      </x:c>
      <x:c r="AE92" s="16" t="n">
        <x:f>IF(M92="Three Phase",K92/3,IF(N92="R",K92,0))</x:f>
        <x:v>3.0972215945032033</x:v>
      </x:c>
      <x:c r="AF92" s="16" t="n">
        <x:f>IF(M92="Three Phase",J92/3,IF(N92="Y",J92,0))</x:f>
        <x:v>7.120188833333334</x:v>
      </x:c>
      <x:c r="AG92" s="16" t="n">
        <x:f>IF(M92="Three Phase",K92/3,IF(N92="Y",K92,0))</x:f>
        <x:v>3.0972215945032033</x:v>
      </x:c>
      <x:c r="AH92" s="16" t="n">
        <x:f>IF(M92="Three Phase",J92/3,IF(N92="B",J92,0))</x:f>
        <x:v>7.120188833333334</x:v>
      </x:c>
      <x:c r="AI92" s="16" t="n">
        <x:f>IF(M92="Three Phase",K92/3,IF(N92="B",K92,0))</x:f>
        <x:v>3.0972215945032033</x:v>
      </x:c>
      <x:c r="AJ92" s="16" t="n">
        <x:f>IF(M92="Three Phase",U92/3,IF(N92="R",U92,0))</x:f>
        <x:v>7.381480166666667</x:v>
      </x:c>
      <x:c r="AK92" s="16" t="n">
        <x:f>IF(M92="Three Phase",V92/3,IF(N92="R",V92,0))</x:f>
        <x:v>3.2108811025583663</x:v>
      </x:c>
      <x:c r="AL92" s="16" t="n">
        <x:f>IF(M92="Three Phase",U92/3,IF(N92="Y",U92,0))</x:f>
        <x:v>7.381480166666667</x:v>
      </x:c>
      <x:c r="AM92" s="16" t="n">
        <x:f>IF(M92="Three Phase",V92/3,IF(N92="Y",V92,0))</x:f>
        <x:v>3.2108811025583663</x:v>
      </x:c>
      <x:c r="AN92" s="16" t="n">
        <x:f>IF(M92="Three Phase",U92/3,IF(N92="B",U92,0))</x:f>
        <x:v>7.381480166666667</x:v>
      </x:c>
      <x:c r="AO92" s="16" t="n">
        <x:f>IF(M92="Three Phase",V92/3,IF(N92="B",V92,0))</x:f>
        <x:v>3.2108811025583663</x:v>
      </x:c>
    </x:row>
    <x:row r="93">
      <x:c r="A93" s="13" t="str">
        <x:v>C0092</x:v>
      </x:c>
      <x:c r="B93" s="13" t="str">
        <x:v>DT-6</x:v>
      </x:c>
      <x:c r="C93" s="13" t="str">
        <x:v>Residential</x:v>
      </x:c>
      <x:c r="D93" s="16" t="n">
        <x:v>4</x:v>
      </x:c>
      <x:c r="E93" s="16" t="n">
        <x:v>0.652</x:v>
      </x:c>
      <x:c r="F93" s="16" t="n">
        <x:f>D93*E93</x:f>
        <x:v>2.608</x:v>
      </x:c>
      <x:c r="G93" s="16" t="n">
        <x:v>0.957</x:v>
      </x:c>
      <x:c r="H93" s="16" t="n">
        <x:f>F93/G93</x:f>
        <x:v>2.725182863113898</x:v>
      </x:c>
      <x:c r="I93" s="16" t="n">
        <x:v>0.845</x:v>
      </x:c>
      <x:c r="J93" s="16" t="n">
        <x:f>F93*I93</x:f>
        <x:v>2.20376</x:v>
      </x:c>
      <x:c r="K93" s="16" t="n">
        <x:f>J93*TAN(ACOS(G93))</x:f>
        <x:v>0.6680085157027814</x:v>
      </x:c>
      <x:c r="L93" s="16" t="n">
        <x:f>SQRT(J93^2+K93^2)</x:f>
        <x:v>2.3027795193312435</x:v>
      </x:c>
      <x:c r="M93" s="16" t="str">
        <x:v>Single Phase</x:v>
      </x:c>
      <x:c r="N93" s="16" t="str">
        <x:v>B</x:v>
      </x:c>
      <x:c r="O93" s="16" t="str">
        <x:v>No</x:v>
      </x:c>
      <x:c r="P93" s="16" t="n">
        <x:v>0</x:v>
      </x:c>
      <x:c r="Q93" s="16" t="n">
        <x:v>0.355</x:v>
      </x:c>
      <x:c r="R93" s="16" t="n">
        <x:v>0</x:v>
      </x:c>
      <x:c r="S93" s="16" t="n">
        <x:f>F93*Q93</x:f>
        <x:v>0.92584</x:v>
      </x:c>
      <x:c r="T93" s="16" t="n">
        <x:f>IF(O93="Yes",P93*R93,0)</x:f>
        <x:v>0</x:v>
      </x:c>
      <x:c r="U93" s="16" t="n">
        <x:f>S93-T93</x:f>
        <x:v>0.92584</x:v>
      </x:c>
      <x:c r="V93" s="16" t="n">
        <x:f>S93*TAN(ACOS(G93))</x:f>
        <x:v>0.28064263085738156</x:v>
      </x:c>
      <x:c r="W93" s="16" t="n">
        <x:f>SQRT(U93^2+V93^2)</x:f>
        <x:v>0.9674399164054337</x:v>
      </x:c>
      <x:c r="X93" s="13" t="str">
        <x:v>Yes</x:v>
      </x:c>
      <x:c r="Y93" s="13" t="str">
        <x:v>DT-8</x:v>
      </x:c>
      <x:c r="Z93" s="18" t="n">
        <x:v>85</x:v>
      </x:c>
      <x:c r="AA93" s="13" t="str"/>
      <x:c r="AB93" s="18" t="str"/>
      <x:c r="AC93" s="13" t="str">
        <x:v>No</x:v>
      </x:c>
      <x:c r="AD93" s="16" t="n">
        <x:f>IF(M93="Three Phase",J93/3,IF(N93="R",J93,0))</x:f>
        <x:v>0</x:v>
      </x:c>
      <x:c r="AE93" s="16" t="n">
        <x:f>IF(M93="Three Phase",K93/3,IF(N93="R",K93,0))</x:f>
        <x:v>0</x:v>
      </x:c>
      <x:c r="AF93" s="16" t="n">
        <x:f>IF(M93="Three Phase",J93/3,IF(N93="Y",J93,0))</x:f>
        <x:v>0</x:v>
      </x:c>
      <x:c r="AG93" s="16" t="n">
        <x:f>IF(M93="Three Phase",K93/3,IF(N93="Y",K93,0))</x:f>
        <x:v>0</x:v>
      </x:c>
      <x:c r="AH93" s="16" t="n">
        <x:f>IF(M93="Three Phase",J93/3,IF(N93="B",J93,0))</x:f>
        <x:v>2.20376</x:v>
      </x:c>
      <x:c r="AI93" s="16" t="n">
        <x:f>IF(M93="Three Phase",K93/3,IF(N93="B",K93,0))</x:f>
        <x:v>0.6680085157027814</x:v>
      </x:c>
      <x:c r="AJ93" s="16" t="n">
        <x:f>IF(M93="Three Phase",U93/3,IF(N93="R",U93,0))</x:f>
        <x:v>0</x:v>
      </x:c>
      <x:c r="AK93" s="16" t="n">
        <x:f>IF(M93="Three Phase",V93/3,IF(N93="R",V93,0))</x:f>
        <x:v>0</x:v>
      </x:c>
      <x:c r="AL93" s="16" t="n">
        <x:f>IF(M93="Three Phase",U93/3,IF(N93="Y",U93,0))</x:f>
        <x:v>0</x:v>
      </x:c>
      <x:c r="AM93" s="16" t="n">
        <x:f>IF(M93="Three Phase",V93/3,IF(N93="Y",V93,0))</x:f>
        <x:v>0</x:v>
      </x:c>
      <x:c r="AN93" s="16" t="n">
        <x:f>IF(M93="Three Phase",U93/3,IF(N93="B",U93,0))</x:f>
        <x:v>0.92584</x:v>
      </x:c>
      <x:c r="AO93" s="16" t="n">
        <x:f>IF(M93="Three Phase",V93/3,IF(N93="B",V93,0))</x:f>
        <x:v>0.28064263085738156</x:v>
      </x:c>
    </x:row>
    <x:row r="94">
      <x:c r="A94" s="13" t="str">
        <x:v>C0093</x:v>
      </x:c>
      <x:c r="B94" s="13" t="str">
        <x:v>DT-6</x:v>
      </x:c>
      <x:c r="C94" s="13" t="str">
        <x:v>Residential</x:v>
      </x:c>
      <x:c r="D94" s="16" t="n">
        <x:v>4.5</x:v>
      </x:c>
      <x:c r="E94" s="16" t="n">
        <x:v>0.411</x:v>
      </x:c>
      <x:c r="F94" s="16" t="n">
        <x:f>D94*E94</x:f>
        <x:v>1.8495</x:v>
      </x:c>
      <x:c r="G94" s="16" t="n">
        <x:v>0.975</x:v>
      </x:c>
      <x:c r="H94" s="16" t="n">
        <x:f>F94/G94</x:f>
        <x:v>1.896923076923077</x:v>
      </x:c>
      <x:c r="I94" s="16" t="n">
        <x:v>0.798</x:v>
      </x:c>
      <x:c r="J94" s="16" t="n">
        <x:f>F94*I94</x:f>
        <x:v>1.475901</x:v>
      </x:c>
      <x:c r="K94" s="16" t="n">
        <x:f>J94*TAN(ACOS(G94))</x:f>
        <x:v>0.33636141099257694</x:v>
      </x:c>
      <x:c r="L94" s="16" t="n">
        <x:f>SQRT(J94^2+K94^2)</x:f>
        <x:v>1.5137446153846152</x:v>
      </x:c>
      <x:c r="M94" s="16" t="str">
        <x:v>Single Phase</x:v>
      </x:c>
      <x:c r="N94" s="16" t="str">
        <x:v>Y</x:v>
      </x:c>
      <x:c r="O94" s="16" t="str">
        <x:v>Yes</x:v>
      </x:c>
      <x:c r="P94" s="16" t="n">
        <x:v>1.5</x:v>
      </x:c>
      <x:c r="Q94" s="16" t="n">
        <x:v>0.299</x:v>
      </x:c>
      <x:c r="R94" s="16" t="n">
        <x:v>0.835</x:v>
      </x:c>
      <x:c r="S94" s="16" t="n">
        <x:f>F94*Q94</x:f>
        <x:v>0.5530005</x:v>
      </x:c>
      <x:c r="T94" s="16" t="n">
        <x:f>IF(O94="Yes",P94*R94,0)</x:f>
        <x:v>1.2525</x:v>
      </x:c>
      <x:c r="U94" s="16" t="n">
        <x:f>S94-T94</x:f>
        <x:v>-0.6994994999999999</x:v>
      </x:c>
      <x:c r="V94" s="16" t="n">
        <x:f>S94*TAN(ACOS(G94))</x:f>
        <x:v>0.12603015274032645</x:v>
      </x:c>
      <x:c r="W94" s="16" t="n">
        <x:f>SQRT(U94^2+V94^2)</x:f>
        <x:v>0.7107623723158113</x:v>
      </x:c>
      <x:c r="X94" s="13" t="str">
        <x:v>Yes</x:v>
      </x:c>
      <x:c r="Y94" s="13" t="str">
        <x:v>DT-8</x:v>
      </x:c>
      <x:c r="Z94" s="18" t="n">
        <x:v>37</x:v>
      </x:c>
      <x:c r="AA94" s="13" t="str"/>
      <x:c r="AB94" s="18" t="str"/>
      <x:c r="AC94" s="13" t="str">
        <x:v>Yes</x:v>
      </x:c>
      <x:c r="AD94" s="16" t="n">
        <x:f>IF(M94="Three Phase",J94/3,IF(N94="R",J94,0))</x:f>
        <x:v>0</x:v>
      </x:c>
      <x:c r="AE94" s="16" t="n">
        <x:f>IF(M94="Three Phase",K94/3,IF(N94="R",K94,0))</x:f>
        <x:v>0</x:v>
      </x:c>
      <x:c r="AF94" s="16" t="n">
        <x:f>IF(M94="Three Phase",J94/3,IF(N94="Y",J94,0))</x:f>
        <x:v>1.475901</x:v>
      </x:c>
      <x:c r="AG94" s="16" t="n">
        <x:f>IF(M94="Three Phase",K94/3,IF(N94="Y",K94,0))</x:f>
        <x:v>0.33636141099257694</x:v>
      </x:c>
      <x:c r="AH94" s="16" t="n">
        <x:f>IF(M94="Three Phase",J94/3,IF(N94="B",J94,0))</x:f>
        <x:v>0</x:v>
      </x:c>
      <x:c r="AI94" s="16" t="n">
        <x:f>IF(M94="Three Phase",K94/3,IF(N94="B",K94,0))</x:f>
        <x:v>0</x:v>
      </x:c>
      <x:c r="AJ94" s="16" t="n">
        <x:f>IF(M94="Three Phase",U94/3,IF(N94="R",U94,0))</x:f>
        <x:v>0</x:v>
      </x:c>
      <x:c r="AK94" s="16" t="n">
        <x:f>IF(M94="Three Phase",V94/3,IF(N94="R",V94,0))</x:f>
        <x:v>0</x:v>
      </x:c>
      <x:c r="AL94" s="16" t="n">
        <x:f>IF(M94="Three Phase",U94/3,IF(N94="Y",U94,0))</x:f>
        <x:v>-0.6994994999999999</x:v>
      </x:c>
      <x:c r="AM94" s="16" t="n">
        <x:f>IF(M94="Three Phase",V94/3,IF(N94="Y",V94,0))</x:f>
        <x:v>0.12603015274032645</x:v>
      </x:c>
      <x:c r="AN94" s="16" t="n">
        <x:f>IF(M94="Three Phase",U94/3,IF(N94="B",U94,0))</x:f>
        <x:v>0</x:v>
      </x:c>
      <x:c r="AO94" s="16" t="n">
        <x:f>IF(M94="Three Phase",V94/3,IF(N94="B",V94,0))</x:f>
        <x:v>0</x:v>
      </x:c>
    </x:row>
    <x:row r="95">
      <x:c r="A95" s="13" t="str">
        <x:v>C0094</x:v>
      </x:c>
      <x:c r="B95" s="13" t="str">
        <x:v>DT-6</x:v>
      </x:c>
      <x:c r="C95" s="13" t="str">
        <x:v>Residential</x:v>
      </x:c>
      <x:c r="D95" s="16" t="n">
        <x:v>7</x:v>
      </x:c>
      <x:c r="E95" s="16" t="n">
        <x:v>0.579</x:v>
      </x:c>
      <x:c r="F95" s="16" t="n">
        <x:f>D95*E95</x:f>
        <x:v>4.053</x:v>
      </x:c>
      <x:c r="G95" s="16" t="n">
        <x:v>0.909</x:v>
      </x:c>
      <x:c r="H95" s="16" t="n">
        <x:f>F95/G95</x:f>
        <x:v>4.458745874587459</x:v>
      </x:c>
      <x:c r="I95" s="16" t="n">
        <x:v>0.807</x:v>
      </x:c>
      <x:c r="J95" s="16" t="n">
        <x:f>F95*I95</x:f>
        <x:v>3.2707710000000003</x:v>
      </x:c>
      <x:c r="K95" s="16" t="n">
        <x:f>J95*TAN(ACOS(G95))</x:f>
        <x:v>1.499719075963848</x:v>
      </x:c>
      <x:c r="L95" s="16" t="n">
        <x:f>SQRT(J95^2+K95^2)</x:f>
        <x:v>3.5982079207920794</x:v>
      </x:c>
      <x:c r="M95" s="16" t="str">
        <x:v>Three Phase</x:v>
      </x:c>
      <x:c r="N95" s="16" t="str">
        <x:v>RYB</x:v>
      </x:c>
      <x:c r="O95" s="16" t="str">
        <x:v>Yes</x:v>
      </x:c>
      <x:c r="P95" s="16" t="n">
        <x:v>1</x:v>
      </x:c>
      <x:c r="Q95" s="16" t="n">
        <x:v>0.493</x:v>
      </x:c>
      <x:c r="R95" s="16" t="n">
        <x:v>0.917</x:v>
      </x:c>
      <x:c r="S95" s="16" t="n">
        <x:f>F95*Q95</x:f>
        <x:v>1.998129</x:v>
      </x:c>
      <x:c r="T95" s="16" t="n">
        <x:f>IF(O95="Yes",P95*R95,0)</x:f>
        <x:v>0.917</x:v>
      </x:c>
      <x:c r="U95" s="16" t="n">
        <x:f>S95-T95</x:f>
        <x:v>1.081129</x:v>
      </x:c>
      <x:c r="V95" s="16" t="n">
        <x:f>S95*TAN(ACOS(G95))</x:f>
        <x:v>0.916185259541731</x:v>
      </x:c>
      <x:c r="W95" s="16" t="n">
        <x:f>SQRT(U95^2+V95^2)</x:f>
        <x:v>1.4171222051899932</x:v>
      </x:c>
      <x:c r="X95" s="13" t="str">
        <x:v>Yes</x:v>
      </x:c>
      <x:c r="Y95" s="13" t="str">
        <x:v>DT-5</x:v>
      </x:c>
      <x:c r="Z95" s="18" t="n">
        <x:v>128</x:v>
      </x:c>
      <x:c r="AA95" s="13" t="str"/>
      <x:c r="AB95" s="18" t="str"/>
      <x:c r="AC95" s="13" t="str">
        <x:v>No</x:v>
      </x:c>
      <x:c r="AD95" s="16" t="n">
        <x:f>IF(M95="Three Phase",J95/3,IF(N95="R",J95,0))</x:f>
        <x:v>1.090257</x:v>
      </x:c>
      <x:c r="AE95" s="16" t="n">
        <x:f>IF(M95="Three Phase",K95/3,IF(N95="R",K95,0))</x:f>
        <x:v>0.49990635865461597</x:v>
      </x:c>
      <x:c r="AF95" s="16" t="n">
        <x:f>IF(M95="Three Phase",J95/3,IF(N95="Y",J95,0))</x:f>
        <x:v>1.090257</x:v>
      </x:c>
      <x:c r="AG95" s="16" t="n">
        <x:f>IF(M95="Three Phase",K95/3,IF(N95="Y",K95,0))</x:f>
        <x:v>0.49990635865461597</x:v>
      </x:c>
      <x:c r="AH95" s="16" t="n">
        <x:f>IF(M95="Three Phase",J95/3,IF(N95="B",J95,0))</x:f>
        <x:v>1.090257</x:v>
      </x:c>
      <x:c r="AI95" s="16" t="n">
        <x:f>IF(M95="Three Phase",K95/3,IF(N95="B",K95,0))</x:f>
        <x:v>0.49990635865461597</x:v>
      </x:c>
      <x:c r="AJ95" s="16" t="n">
        <x:f>IF(M95="Three Phase",U95/3,IF(N95="R",U95,0))</x:f>
        <x:v>0.36037633333333335</x:v>
      </x:c>
      <x:c r="AK95" s="16" t="n">
        <x:f>IF(M95="Three Phase",V95/3,IF(N95="R",V95,0))</x:f>
        <x:v>0.30539508651391034</x:v>
      </x:c>
      <x:c r="AL95" s="16" t="n">
        <x:f>IF(M95="Three Phase",U95/3,IF(N95="Y",U95,0))</x:f>
        <x:v>0.36037633333333335</x:v>
      </x:c>
      <x:c r="AM95" s="16" t="n">
        <x:f>IF(M95="Three Phase",V95/3,IF(N95="Y",V95,0))</x:f>
        <x:v>0.30539508651391034</x:v>
      </x:c>
      <x:c r="AN95" s="16" t="n">
        <x:f>IF(M95="Three Phase",U95/3,IF(N95="B",U95,0))</x:f>
        <x:v>0.36037633333333335</x:v>
      </x:c>
      <x:c r="AO95" s="16" t="n">
        <x:f>IF(M95="Three Phase",V95/3,IF(N95="B",V95,0))</x:f>
        <x:v>0.30539508651391034</x:v>
      </x:c>
    </x:row>
    <x:row r="96">
      <x:c r="A96" s="13" t="str">
        <x:v>C0095</x:v>
      </x:c>
      <x:c r="B96" s="13" t="str">
        <x:v>DT-6</x:v>
      </x:c>
      <x:c r="C96" s="13" t="str">
        <x:v>Residential</x:v>
      </x:c>
      <x:c r="D96" s="16" t="n">
        <x:v>4</x:v>
      </x:c>
      <x:c r="E96" s="16" t="n">
        <x:v>0.46</x:v>
      </x:c>
      <x:c r="F96" s="16" t="n">
        <x:f>D96*E96</x:f>
        <x:v>1.84</x:v>
      </x:c>
      <x:c r="G96" s="16" t="n">
        <x:v>0.974</x:v>
      </x:c>
      <x:c r="H96" s="16" t="n">
        <x:f>F96/G96</x:f>
        <x:v>1.88911704312115</x:v>
      </x:c>
      <x:c r="I96" s="16" t="n">
        <x:v>0.732</x:v>
      </x:c>
      <x:c r="J96" s="16" t="n">
        <x:f>F96*I96</x:f>
        <x:v>1.34688</x:v>
      </x:c>
      <x:c r="K96" s="16" t="n">
        <x:f>J96*TAN(ACOS(G96))</x:f>
        <x:v>0.31327821481189455</x:v>
      </x:c>
      <x:c r="L96" s="16" t="n">
        <x:f>SQRT(J96^2+K96^2)</x:f>
        <x:v>1.382833675564682</x:v>
      </x:c>
      <x:c r="M96" s="16" t="str">
        <x:v>Single Phase</x:v>
      </x:c>
      <x:c r="N96" s="16" t="str">
        <x:v>Y</x:v>
      </x:c>
      <x:c r="O96" s="16" t="str">
        <x:v>No</x:v>
      </x:c>
      <x:c r="P96" s="16" t="n">
        <x:v>0</x:v>
      </x:c>
      <x:c r="Q96" s="16" t="n">
        <x:v>0.402</x:v>
      </x:c>
      <x:c r="R96" s="16" t="n">
        <x:v>0</x:v>
      </x:c>
      <x:c r="S96" s="16" t="n">
        <x:f>F96*Q96</x:f>
        <x:v>0.7396800000000001</x:v>
      </x:c>
      <x:c r="T96" s="16" t="n">
        <x:f>IF(O96="Yes",P96*R96,0)</x:f>
        <x:v>0</x:v>
      </x:c>
      <x:c r="U96" s="16" t="n">
        <x:f>S96-T96</x:f>
        <x:v>0.7396800000000001</x:v>
      </x:c>
      <x:c r="V96" s="16" t="n">
        <x:f>S96*TAN(ACOS(G96))</x:f>
        <x:v>0.17204623272456504</x:v>
      </x:c>
      <x:c r="W96" s="16" t="n">
        <x:f>SQRT(U96^2+V96^2)</x:f>
        <x:v>0.7594250513347024</x:v>
      </x:c>
      <x:c r="X96" s="13" t="str">
        <x:v>No</x:v>
      </x:c>
      <x:c r="Y96" s="13" t="str"/>
      <x:c r="Z96" s="18" t="str"/>
      <x:c r="AA96" s="13" t="str"/>
      <x:c r="AB96" s="18" t="str"/>
      <x:c r="AC96" s="13" t="str">
        <x:v>No</x:v>
      </x:c>
      <x:c r="AD96" s="16" t="n">
        <x:f>IF(M96="Three Phase",J96/3,IF(N96="R",J96,0))</x:f>
        <x:v>0</x:v>
      </x:c>
      <x:c r="AE96" s="16" t="n">
        <x:f>IF(M96="Three Phase",K96/3,IF(N96="R",K96,0))</x:f>
        <x:v>0</x:v>
      </x:c>
      <x:c r="AF96" s="16" t="n">
        <x:f>IF(M96="Three Phase",J96/3,IF(N96="Y",J96,0))</x:f>
        <x:v>1.34688</x:v>
      </x:c>
      <x:c r="AG96" s="16" t="n">
        <x:f>IF(M96="Three Phase",K96/3,IF(N96="Y",K96,0))</x:f>
        <x:v>0.31327821481189455</x:v>
      </x:c>
      <x:c r="AH96" s="16" t="n">
        <x:f>IF(M96="Three Phase",J96/3,IF(N96="B",J96,0))</x:f>
        <x:v>0</x:v>
      </x:c>
      <x:c r="AI96" s="16" t="n">
        <x:f>IF(M96="Three Phase",K96/3,IF(N96="B",K96,0))</x:f>
        <x:v>0</x:v>
      </x:c>
      <x:c r="AJ96" s="16" t="n">
        <x:f>IF(M96="Three Phase",U96/3,IF(N96="R",U96,0))</x:f>
        <x:v>0</x:v>
      </x:c>
      <x:c r="AK96" s="16" t="n">
        <x:f>IF(M96="Three Phase",V96/3,IF(N96="R",V96,0))</x:f>
        <x:v>0</x:v>
      </x:c>
      <x:c r="AL96" s="16" t="n">
        <x:f>IF(M96="Three Phase",U96/3,IF(N96="Y",U96,0))</x:f>
        <x:v>0.7396800000000001</x:v>
      </x:c>
      <x:c r="AM96" s="16" t="n">
        <x:f>IF(M96="Three Phase",V96/3,IF(N96="Y",V96,0))</x:f>
        <x:v>0.17204623272456504</x:v>
      </x:c>
      <x:c r="AN96" s="16" t="n">
        <x:f>IF(M96="Three Phase",U96/3,IF(N96="B",U96,0))</x:f>
        <x:v>0</x:v>
      </x:c>
      <x:c r="AO96" s="16" t="n">
        <x:f>IF(M96="Three Phase",V96/3,IF(N96="B",V96,0))</x:f>
        <x:v>0</x:v>
      </x:c>
    </x:row>
    <x:row r="97">
      <x:c r="A97" s="13" t="str">
        <x:v>C0096</x:v>
      </x:c>
      <x:c r="B97" s="13" t="str">
        <x:v>DT-6</x:v>
      </x:c>
      <x:c r="C97" s="13" t="str">
        <x:v>Commercial</x:v>
      </x:c>
      <x:c r="D97" s="16" t="n">
        <x:v>13.5</x:v>
      </x:c>
      <x:c r="E97" s="16" t="n">
        <x:v>0.865</x:v>
      </x:c>
      <x:c r="F97" s="16" t="n">
        <x:f>D97*E97</x:f>
        <x:v>11.6775</x:v>
      </x:c>
      <x:c r="G97" s="16" t="n">
        <x:v>0.977</x:v>
      </x:c>
      <x:c r="H97" s="16" t="n">
        <x:f>F97/G97</x:f>
        <x:v>11.952405322415558</x:v>
      </x:c>
      <x:c r="I97" s="16" t="n">
        <x:v>0.831</x:v>
      </x:c>
      <x:c r="J97" s="16" t="n">
        <x:f>F97*I97</x:f>
        <x:v>9.7040025</x:v>
      </x:c>
      <x:c r="K97" s="16" t="n">
        <x:f>J97*TAN(ACOS(G97))</x:f>
        <x:v>2.1179884560743547</x:v>
      </x:c>
      <x:c r="L97" s="16" t="n">
        <x:f>SQRT(J97^2+K97^2)</x:f>
        <x:v>9.932448822927329</x:v>
      </x:c>
      <x:c r="M97" s="16" t="str">
        <x:v>Three Phase</x:v>
      </x:c>
      <x:c r="N97" s="16" t="str">
        <x:v>RYB</x:v>
      </x:c>
      <x:c r="O97" s="16" t="str">
        <x:v>No</x:v>
      </x:c>
      <x:c r="P97" s="16" t="n">
        <x:v>0</x:v>
      </x:c>
      <x:c r="Q97" s="16" t="n">
        <x:v>0.607</x:v>
      </x:c>
      <x:c r="R97" s="16" t="n">
        <x:v>0</x:v>
      </x:c>
      <x:c r="S97" s="16" t="n">
        <x:f>F97*Q97</x:f>
        <x:v>7.0882425</x:v>
      </x:c>
      <x:c r="T97" s="16" t="n">
        <x:f>IF(O97="Yes",P97*R97,0)</x:f>
        <x:v>0</x:v>
      </x:c>
      <x:c r="U97" s="16" t="n">
        <x:f>S97-T97</x:f>
        <x:v>7.0882425</x:v>
      </x:c>
      <x:c r="V97" s="16" t="n">
        <x:f>S97*TAN(ACOS(G97))</x:f>
        <x:v>1.5470746002853588</x:v>
      </x:c>
      <x:c r="W97" s="16" t="n">
        <x:f>SQRT(U97^2+V97^2)</x:f>
        <x:v>7.255110030706244</x:v>
      </x:c>
      <x:c r="X97" s="13" t="str">
        <x:v>No</x:v>
      </x:c>
      <x:c r="Y97" s="13" t="str"/>
      <x:c r="Z97" s="18" t="str"/>
      <x:c r="AA97" s="13" t="str"/>
      <x:c r="AB97" s="18" t="str"/>
      <x:c r="AC97" s="13" t="str">
        <x:v>No</x:v>
      </x:c>
      <x:c r="AD97" s="16" t="n">
        <x:f>IF(M97="Three Phase",J97/3,IF(N97="R",J97,0))</x:f>
        <x:v>3.2346675</x:v>
      </x:c>
      <x:c r="AE97" s="16" t="n">
        <x:f>IF(M97="Three Phase",K97/3,IF(N97="R",K97,0))</x:f>
        <x:v>0.7059961520247849</x:v>
      </x:c>
      <x:c r="AF97" s="16" t="n">
        <x:f>IF(M97="Three Phase",J97/3,IF(N97="Y",J97,0))</x:f>
        <x:v>3.2346675</x:v>
      </x:c>
      <x:c r="AG97" s="16" t="n">
        <x:f>IF(M97="Three Phase",K97/3,IF(N97="Y",K97,0))</x:f>
        <x:v>0.7059961520247849</x:v>
      </x:c>
      <x:c r="AH97" s="16" t="n">
        <x:f>IF(M97="Three Phase",J97/3,IF(N97="B",J97,0))</x:f>
        <x:v>3.2346675</x:v>
      </x:c>
      <x:c r="AI97" s="16" t="n">
        <x:f>IF(M97="Three Phase",K97/3,IF(N97="B",K97,0))</x:f>
        <x:v>0.7059961520247849</x:v>
      </x:c>
      <x:c r="AJ97" s="16" t="n">
        <x:f>IF(M97="Three Phase",U97/3,IF(N97="R",U97,0))</x:f>
        <x:v>2.3627475</x:v>
      </x:c>
      <x:c r="AK97" s="16" t="n">
        <x:f>IF(M97="Three Phase",V97/3,IF(N97="R",V97,0))</x:f>
        <x:v>0.515691533428453</x:v>
      </x:c>
      <x:c r="AL97" s="16" t="n">
        <x:f>IF(M97="Three Phase",U97/3,IF(N97="Y",U97,0))</x:f>
        <x:v>2.3627475</x:v>
      </x:c>
      <x:c r="AM97" s="16" t="n">
        <x:f>IF(M97="Three Phase",V97/3,IF(N97="Y",V97,0))</x:f>
        <x:v>0.515691533428453</x:v>
      </x:c>
      <x:c r="AN97" s="16" t="n">
        <x:f>IF(M97="Three Phase",U97/3,IF(N97="B",U97,0))</x:f>
        <x:v>2.3627475</x:v>
      </x:c>
      <x:c r="AO97" s="16" t="n">
        <x:f>IF(M97="Three Phase",V97/3,IF(N97="B",V97,0))</x:f>
        <x:v>0.515691533428453</x:v>
      </x:c>
    </x:row>
    <x:row r="98">
      <x:c r="A98" s="13" t="str">
        <x:v>C0097</x:v>
      </x:c>
      <x:c r="B98" s="13" t="str">
        <x:v>DT-6</x:v>
      </x:c>
      <x:c r="C98" s="13" t="str">
        <x:v>Residential</x:v>
      </x:c>
      <x:c r="D98" s="16" t="n">
        <x:v>4</x:v>
      </x:c>
      <x:c r="E98" s="16" t="n">
        <x:v>0.685</x:v>
      </x:c>
      <x:c r="F98" s="16" t="n">
        <x:f>D98*E98</x:f>
        <x:v>2.74</x:v>
      </x:c>
      <x:c r="G98" s="16" t="n">
        <x:v>0.905</x:v>
      </x:c>
      <x:c r="H98" s="16" t="n">
        <x:f>F98/G98</x:f>
        <x:v>3.0276243093922655</x:v>
      </x:c>
      <x:c r="I98" s="16" t="n">
        <x:v>0.737</x:v>
      </x:c>
      <x:c r="J98" s="16" t="n">
        <x:f>F98*I98</x:f>
        <x:v>2.01938</x:v>
      </x:c>
      <x:c r="K98" s="16" t="n">
        <x:f>J98*TAN(ACOS(G98))</x:f>
        <x:v>0.9492459745792576</x:v>
      </x:c>
      <x:c r="L98" s="16" t="n">
        <x:f>SQRT(J98^2+K98^2)</x:f>
        <x:v>2.2313591160220994</x:v>
      </x:c>
      <x:c r="M98" s="16" t="str">
        <x:v>Single Phase</x:v>
      </x:c>
      <x:c r="N98" s="16" t="str">
        <x:v>B</x:v>
      </x:c>
      <x:c r="O98" s="16" t="str">
        <x:v>Yes</x:v>
      </x:c>
      <x:c r="P98" s="16" t="n">
        <x:v>2</x:v>
      </x:c>
      <x:c r="Q98" s="16" t="n">
        <x:v>0.465</x:v>
      </x:c>
      <x:c r="R98" s="16" t="n">
        <x:v>0.92</x:v>
      </x:c>
      <x:c r="S98" s="16" t="n">
        <x:f>F98*Q98</x:f>
        <x:v>1.2741000000000002</x:v>
      </x:c>
      <x:c r="T98" s="16" t="n">
        <x:f>IF(O98="Yes",P98*R98,0)</x:f>
        <x:v>1.84</x:v>
      </x:c>
      <x:c r="U98" s="16" t="n">
        <x:f>S98-T98</x:f>
        <x:v>-0.5658999999999998</x:v>
      </x:c>
      <x:c r="V98" s="16" t="n">
        <x:f>S98*TAN(ACOS(G98))</x:f>
        <x:v>0.5989136745988534</x:v>
      </x:c>
      <x:c r="W98" s="16" t="n">
        <x:f>SQRT(U98^2+V98^2)</x:f>
        <x:v>0.8239783975454096</x:v>
      </x:c>
      <x:c r="X98" s="13" t="str">
        <x:v>No</x:v>
      </x:c>
      <x:c r="Y98" s="13" t="str"/>
      <x:c r="Z98" s="18" t="str"/>
      <x:c r="AA98" s="13" t="str"/>
      <x:c r="AB98" s="18" t="str"/>
      <x:c r="AC98" s="13" t="str">
        <x:v>Yes</x:v>
      </x:c>
      <x:c r="AD98" s="16" t="n">
        <x:f>IF(M98="Three Phase",J98/3,IF(N98="R",J98,0))</x:f>
        <x:v>0</x:v>
      </x:c>
      <x:c r="AE98" s="16" t="n">
        <x:f>IF(M98="Three Phase",K98/3,IF(N98="R",K98,0))</x:f>
        <x:v>0</x:v>
      </x:c>
      <x:c r="AF98" s="16" t="n">
        <x:f>IF(M98="Three Phase",J98/3,IF(N98="Y",J98,0))</x:f>
        <x:v>0</x:v>
      </x:c>
      <x:c r="AG98" s="16" t="n">
        <x:f>IF(M98="Three Phase",K98/3,IF(N98="Y",K98,0))</x:f>
        <x:v>0</x:v>
      </x:c>
      <x:c r="AH98" s="16" t="n">
        <x:f>IF(M98="Three Phase",J98/3,IF(N98="B",J98,0))</x:f>
        <x:v>2.01938</x:v>
      </x:c>
      <x:c r="AI98" s="16" t="n">
        <x:f>IF(M98="Three Phase",K98/3,IF(N98="B",K98,0))</x:f>
        <x:v>0.9492459745792576</x:v>
      </x:c>
      <x:c r="AJ98" s="16" t="n">
        <x:f>IF(M98="Three Phase",U98/3,IF(N98="R",U98,0))</x:f>
        <x:v>0</x:v>
      </x:c>
      <x:c r="AK98" s="16" t="n">
        <x:f>IF(M98="Three Phase",V98/3,IF(N98="R",V98,0))</x:f>
        <x:v>0</x:v>
      </x:c>
      <x:c r="AL98" s="16" t="n">
        <x:f>IF(M98="Three Phase",U98/3,IF(N98="Y",U98,0))</x:f>
        <x:v>0</x:v>
      </x:c>
      <x:c r="AM98" s="16" t="n">
        <x:f>IF(M98="Three Phase",V98/3,IF(N98="Y",V98,0))</x:f>
        <x:v>0</x:v>
      </x:c>
      <x:c r="AN98" s="16" t="n">
        <x:f>IF(M98="Three Phase",U98/3,IF(N98="B",U98,0))</x:f>
        <x:v>-0.5658999999999998</x:v>
      </x:c>
      <x:c r="AO98" s="16" t="n">
        <x:f>IF(M98="Three Phase",V98/3,IF(N98="B",V98,0))</x:f>
        <x:v>0.5989136745988534</x:v>
      </x:c>
    </x:row>
    <x:row r="99">
      <x:c r="A99" s="13" t="str">
        <x:v>C0098</x:v>
      </x:c>
      <x:c r="B99" s="13" t="str">
        <x:v>DT-6</x:v>
      </x:c>
      <x:c r="C99" s="13" t="str">
        <x:v>Residential</x:v>
      </x:c>
      <x:c r="D99" s="16" t="n">
        <x:v>4.5</x:v>
      </x:c>
      <x:c r="E99" s="16" t="n">
        <x:v>0.591</x:v>
      </x:c>
      <x:c r="F99" s="16" t="n">
        <x:f>D99*E99</x:f>
        <x:v>2.6595</x:v>
      </x:c>
      <x:c r="G99" s="16" t="n">
        <x:v>0.92</x:v>
      </x:c>
      <x:c r="H99" s="16" t="n">
        <x:f>F99/G99</x:f>
        <x:v>2.8907608695652174</x:v>
      </x:c>
      <x:c r="I99" s="16" t="n">
        <x:v>0.894</x:v>
      </x:c>
      <x:c r="J99" s="16" t="n">
        <x:f>F99*I99</x:f>
        <x:v>2.377593</x:v>
      </x:c>
      <x:c r="K99" s="16" t="n">
        <x:f>J99*TAN(ACOS(G99))</x:f>
        <x:v>1.0128503766979275</x:v>
      </x:c>
      <x:c r="L99" s="16" t="n">
        <x:f>SQRT(J99^2+K99^2)</x:f>
        <x:v>2.584340217391304</x:v>
      </x:c>
      <x:c r="M99" s="16" t="str">
        <x:v>Single Phase</x:v>
      </x:c>
      <x:c r="N99" s="16" t="str">
        <x:v>Y</x:v>
      </x:c>
      <x:c r="O99" s="16" t="str">
        <x:v>No</x:v>
      </x:c>
      <x:c r="P99" s="16" t="n">
        <x:v>0</x:v>
      </x:c>
      <x:c r="Q99" s="16" t="n">
        <x:v>0.307</x:v>
      </x:c>
      <x:c r="R99" s="16" t="n">
        <x:v>0</x:v>
      </x:c>
      <x:c r="S99" s="16" t="n">
        <x:f>F99*Q99</x:f>
        <x:v>0.8164665</x:v>
      </x:c>
      <x:c r="T99" s="16" t="n">
        <x:f>IF(O99="Yes",P99*R99,0)</x:f>
        <x:v>0</x:v>
      </x:c>
      <x:c r="U99" s="16" t="n">
        <x:f>S99-T99</x:f>
        <x:v>0.8164665</x:v>
      </x:c>
      <x:c r="V99" s="16" t="n">
        <x:f>S99*TAN(ACOS(G99))</x:f>
        <x:v>0.34781327253497063</x:v>
      </x:c>
      <x:c r="W99" s="16" t="n">
        <x:f>SQRT(U99^2+V99^2)</x:f>
        <x:v>0.8874635869565216</x:v>
      </x:c>
      <x:c r="X99" s="13" t="str">
        <x:v>No</x:v>
      </x:c>
      <x:c r="Y99" s="13" t="str"/>
      <x:c r="Z99" s="18" t="str"/>
      <x:c r="AA99" s="13" t="str"/>
      <x:c r="AB99" s="18" t="str"/>
      <x:c r="AC99" s="13" t="str">
        <x:v>Yes</x:v>
      </x:c>
      <x:c r="AD99" s="16" t="n">
        <x:f>IF(M99="Three Phase",J99/3,IF(N99="R",J99,0))</x:f>
        <x:v>0</x:v>
      </x:c>
      <x:c r="AE99" s="16" t="n">
        <x:f>IF(M99="Three Phase",K99/3,IF(N99="R",K99,0))</x:f>
        <x:v>0</x:v>
      </x:c>
      <x:c r="AF99" s="16" t="n">
        <x:f>IF(M99="Three Phase",J99/3,IF(N99="Y",J99,0))</x:f>
        <x:v>2.377593</x:v>
      </x:c>
      <x:c r="AG99" s="16" t="n">
        <x:f>IF(M99="Three Phase",K99/3,IF(N99="Y",K99,0))</x:f>
        <x:v>1.0128503766979275</x:v>
      </x:c>
      <x:c r="AH99" s="16" t="n">
        <x:f>IF(M99="Three Phase",J99/3,IF(N99="B",J99,0))</x:f>
        <x:v>0</x:v>
      </x:c>
      <x:c r="AI99" s="16" t="n">
        <x:f>IF(M99="Three Phase",K99/3,IF(N99="B",K99,0))</x:f>
        <x:v>0</x:v>
      </x:c>
      <x:c r="AJ99" s="16" t="n">
        <x:f>IF(M99="Three Phase",U99/3,IF(N99="R",U99,0))</x:f>
        <x:v>0</x:v>
      </x:c>
      <x:c r="AK99" s="16" t="n">
        <x:f>IF(M99="Three Phase",V99/3,IF(N99="R",V99,0))</x:f>
        <x:v>0</x:v>
      </x:c>
      <x:c r="AL99" s="16" t="n">
        <x:f>IF(M99="Three Phase",U99/3,IF(N99="Y",U99,0))</x:f>
        <x:v>0.8164665</x:v>
      </x:c>
      <x:c r="AM99" s="16" t="n">
        <x:f>IF(M99="Three Phase",V99/3,IF(N99="Y",V99,0))</x:f>
        <x:v>0.34781327253497063</x:v>
      </x:c>
      <x:c r="AN99" s="16" t="n">
        <x:f>IF(M99="Three Phase",U99/3,IF(N99="B",U99,0))</x:f>
        <x:v>0</x:v>
      </x:c>
      <x:c r="AO99" s="16" t="n">
        <x:f>IF(M99="Three Phase",V99/3,IF(N99="B",V99,0))</x:f>
        <x:v>0</x:v>
      </x:c>
    </x:row>
    <x:row r="100">
      <x:c r="A100" s="13" t="str">
        <x:v>C0099</x:v>
      </x:c>
      <x:c r="B100" s="13" t="str">
        <x:v>DT-6</x:v>
      </x:c>
      <x:c r="C100" s="13" t="str">
        <x:v>Residential</x:v>
      </x:c>
      <x:c r="D100" s="16" t="n">
        <x:v>4.5</x:v>
      </x:c>
      <x:c r="E100" s="16" t="n">
        <x:v>0.498</x:v>
      </x:c>
      <x:c r="F100" s="16" t="n">
        <x:f>D100*E100</x:f>
        <x:v>2.241</x:v>
      </x:c>
      <x:c r="G100" s="16" t="n">
        <x:v>0.977</x:v>
      </x:c>
      <x:c r="H100" s="16" t="n">
        <x:f>F100/G100</x:f>
        <x:v>2.293756397134084</x:v>
      </x:c>
      <x:c r="I100" s="16" t="n">
        <x:v>0.722</x:v>
      </x:c>
      <x:c r="J100" s="16" t="n">
        <x:f>F100*I100</x:f>
        <x:v>1.618002</x:v>
      </x:c>
      <x:c r="K100" s="16" t="n">
        <x:f>J100*TAN(ACOS(G100))</x:f>
        <x:v>0.35314392776642606</x:v>
      </x:c>
      <x:c r="L100" s="16" t="n">
        <x:f>SQRT(J100^2+K100^2)</x:f>
        <x:v>1.6560921187308084</x:v>
      </x:c>
      <x:c r="M100" s="16" t="str">
        <x:v>Single Phase</x:v>
      </x:c>
      <x:c r="N100" s="16" t="str">
        <x:v>B</x:v>
      </x:c>
      <x:c r="O100" s="16" t="str">
        <x:v>No</x:v>
      </x:c>
      <x:c r="P100" s="16" t="n">
        <x:v>0</x:v>
      </x:c>
      <x:c r="Q100" s="16" t="n">
        <x:v>0.365</x:v>
      </x:c>
      <x:c r="R100" s="16" t="n">
        <x:v>0</x:v>
      </x:c>
      <x:c r="S100" s="16" t="n">
        <x:f>F100*Q100</x:f>
        <x:v>0.817965</x:v>
      </x:c>
      <x:c r="T100" s="16" t="n">
        <x:f>IF(O100="Yes",P100*R100,0)</x:f>
        <x:v>0</x:v>
      </x:c>
      <x:c r="U100" s="16" t="n">
        <x:f>S100-T100</x:f>
        <x:v>0.817965</x:v>
      </x:c>
      <x:c r="V100" s="16" t="n">
        <x:f>S100*TAN(ACOS(G100))</x:f>
        <x:v>0.17852843993732068</x:v>
      </x:c>
      <x:c r="W100" s="16" t="n">
        <x:f>SQRT(U100^2+V100^2)</x:f>
        <x:v>0.8372210849539408</x:v>
      </x:c>
      <x:c r="X100" s="13" t="str">
        <x:v>No</x:v>
      </x:c>
      <x:c r="Y100" s="13" t="str"/>
      <x:c r="Z100" s="18" t="str"/>
      <x:c r="AA100" s="13" t="str"/>
      <x:c r="AB100" s="18" t="str"/>
      <x:c r="AC100" s="13" t="str">
        <x:v>Yes</x:v>
      </x:c>
      <x:c r="AD100" s="16" t="n">
        <x:f>IF(M100="Three Phase",J100/3,IF(N100="R",J100,0))</x:f>
        <x:v>0</x:v>
      </x:c>
      <x:c r="AE100" s="16" t="n">
        <x:f>IF(M100="Three Phase",K100/3,IF(N100="R",K100,0))</x:f>
        <x:v>0</x:v>
      </x:c>
      <x:c r="AF100" s="16" t="n">
        <x:f>IF(M100="Three Phase",J100/3,IF(N100="Y",J100,0))</x:f>
        <x:v>0</x:v>
      </x:c>
      <x:c r="AG100" s="16" t="n">
        <x:f>IF(M100="Three Phase",K100/3,IF(N100="Y",K100,0))</x:f>
        <x:v>0</x:v>
      </x:c>
      <x:c r="AH100" s="16" t="n">
        <x:f>IF(M100="Three Phase",J100/3,IF(N100="B",J100,0))</x:f>
        <x:v>1.618002</x:v>
      </x:c>
      <x:c r="AI100" s="16" t="n">
        <x:f>IF(M100="Three Phase",K100/3,IF(N100="B",K100,0))</x:f>
        <x:v>0.35314392776642606</x:v>
      </x:c>
      <x:c r="AJ100" s="16" t="n">
        <x:f>IF(M100="Three Phase",U100/3,IF(N100="R",U100,0))</x:f>
        <x:v>0</x:v>
      </x:c>
      <x:c r="AK100" s="16" t="n">
        <x:f>IF(M100="Three Phase",V100/3,IF(N100="R",V100,0))</x:f>
        <x:v>0</x:v>
      </x:c>
      <x:c r="AL100" s="16" t="n">
        <x:f>IF(M100="Three Phase",U100/3,IF(N100="Y",U100,0))</x:f>
        <x:v>0</x:v>
      </x:c>
      <x:c r="AM100" s="16" t="n">
        <x:f>IF(M100="Three Phase",V100/3,IF(N100="Y",V100,0))</x:f>
        <x:v>0</x:v>
      </x:c>
      <x:c r="AN100" s="16" t="n">
        <x:f>IF(M100="Three Phase",U100/3,IF(N100="B",U100,0))</x:f>
        <x:v>0.817965</x:v>
      </x:c>
      <x:c r="AO100" s="16" t="n">
        <x:f>IF(M100="Three Phase",V100/3,IF(N100="B",V100,0))</x:f>
        <x:v>0.17852843993732068</x:v>
      </x:c>
    </x:row>
    <x:row r="101">
      <x:c r="A101" s="13" t="str">
        <x:v>C0100</x:v>
      </x:c>
      <x:c r="B101" s="13" t="str">
        <x:v>DT-6</x:v>
      </x:c>
      <x:c r="C101" s="13" t="str">
        <x:v>Residential</x:v>
      </x:c>
      <x:c r="D101" s="16" t="n">
        <x:v>4</x:v>
      </x:c>
      <x:c r="E101" s="16" t="n">
        <x:v>0.685</x:v>
      </x:c>
      <x:c r="F101" s="16" t="n">
        <x:f>D101*E101</x:f>
        <x:v>2.74</x:v>
      </x:c>
      <x:c r="G101" s="16" t="n">
        <x:v>0.967</x:v>
      </x:c>
      <x:c r="H101" s="16" t="n">
        <x:f>F101/G101</x:f>
        <x:v>2.833505687693899</x:v>
      </x:c>
      <x:c r="I101" s="16" t="n">
        <x:v>0.704</x:v>
      </x:c>
      <x:c r="J101" s="16" t="n">
        <x:f>F101*I101</x:f>
        <x:v>1.92896</x:v>
      </x:c>
      <x:c r="K101" s="16" t="n">
        <x:f>J101*TAN(ACOS(G101))</x:f>
        <x:v>0.5082248516620375</x:v>
      </x:c>
      <x:c r="L101" s="16" t="n">
        <x:f>SQRT(J101^2+K101^2)</x:f>
        <x:v>1.9947880041365047</x:v>
      </x:c>
      <x:c r="M101" s="16" t="str">
        <x:v>Single Phase</x:v>
      </x:c>
      <x:c r="N101" s="16" t="str">
        <x:v>Y</x:v>
      </x:c>
      <x:c r="O101" s="16" t="str">
        <x:v>No</x:v>
      </x:c>
      <x:c r="P101" s="16" t="n">
        <x:v>0</x:v>
      </x:c>
      <x:c r="Q101" s="16" t="n">
        <x:v>0.203</x:v>
      </x:c>
      <x:c r="R101" s="16" t="n">
        <x:v>0</x:v>
      </x:c>
      <x:c r="S101" s="16" t="n">
        <x:f>F101*Q101</x:f>
        <x:v>0.55622</x:v>
      </x:c>
      <x:c r="T101" s="16" t="n">
        <x:f>IF(O101="Yes",P101*R101,0)</x:f>
        <x:v>0</x:v>
      </x:c>
      <x:c r="U101" s="16" t="n">
        <x:f>S101-T101</x:f>
        <x:v>0.55622</x:v>
      </x:c>
      <x:c r="V101" s="16" t="n">
        <x:f>S101*TAN(ACOS(G101))</x:f>
        <x:v>0.14654779103322954</x:v>
      </x:c>
      <x:c r="W101" s="16" t="n">
        <x:f>SQRT(U101^2+V101^2)</x:f>
        <x:v>0.5752016546018615</x:v>
      </x:c>
      <x:c r="X101" s="13" t="str">
        <x:v>Yes</x:v>
      </x:c>
      <x:c r="Y101" s="13" t="str">
        <x:v>DT-5</x:v>
      </x:c>
      <x:c r="Z101" s="18" t="n">
        <x:v>79</x:v>
      </x:c>
      <x:c r="AA101" s="13" t="str"/>
      <x:c r="AB101" s="18" t="str"/>
      <x:c r="AC101" s="13" t="str">
        <x:v>Yes</x:v>
      </x:c>
      <x:c r="AD101" s="16" t="n">
        <x:f>IF(M101="Three Phase",J101/3,IF(N101="R",J101,0))</x:f>
        <x:v>0</x:v>
      </x:c>
      <x:c r="AE101" s="16" t="n">
        <x:f>IF(M101="Three Phase",K101/3,IF(N101="R",K101,0))</x:f>
        <x:v>0</x:v>
      </x:c>
      <x:c r="AF101" s="16" t="n">
        <x:f>IF(M101="Three Phase",J101/3,IF(N101="Y",J101,0))</x:f>
        <x:v>1.92896</x:v>
      </x:c>
      <x:c r="AG101" s="16" t="n">
        <x:f>IF(M101="Three Phase",K101/3,IF(N101="Y",K101,0))</x:f>
        <x:v>0.5082248516620375</x:v>
      </x:c>
      <x:c r="AH101" s="16" t="n">
        <x:f>IF(M101="Three Phase",J101/3,IF(N101="B",J101,0))</x:f>
        <x:v>0</x:v>
      </x:c>
      <x:c r="AI101" s="16" t="n">
        <x:f>IF(M101="Three Phase",K101/3,IF(N101="B",K101,0))</x:f>
        <x:v>0</x:v>
      </x:c>
      <x:c r="AJ101" s="16" t="n">
        <x:f>IF(M101="Three Phase",U101/3,IF(N101="R",U101,0))</x:f>
        <x:v>0</x:v>
      </x:c>
      <x:c r="AK101" s="16" t="n">
        <x:f>IF(M101="Three Phase",V101/3,IF(N101="R",V101,0))</x:f>
        <x:v>0</x:v>
      </x:c>
      <x:c r="AL101" s="16" t="n">
        <x:f>IF(M101="Three Phase",U101/3,IF(N101="Y",U101,0))</x:f>
        <x:v>0.55622</x:v>
      </x:c>
      <x:c r="AM101" s="16" t="n">
        <x:f>IF(M101="Three Phase",V101/3,IF(N101="Y",V101,0))</x:f>
        <x:v>0.14654779103322954</x:v>
      </x:c>
      <x:c r="AN101" s="16" t="n">
        <x:f>IF(M101="Three Phase",U101/3,IF(N101="B",U101,0))</x:f>
        <x:v>0</x:v>
      </x:c>
      <x:c r="AO101" s="16" t="n">
        <x:f>IF(M101="Three Phase",V101/3,IF(N101="B",V101,0))</x:f>
        <x:v>0</x:v>
      </x:c>
    </x:row>
    <x:row r="102">
      <x:c r="A102" s="13" t="str">
        <x:v>C0101</x:v>
      </x:c>
      <x:c r="B102" s="13" t="str">
        <x:v>DT-6</x:v>
      </x:c>
      <x:c r="C102" s="13" t="str">
        <x:v>Commercial</x:v>
      </x:c>
      <x:c r="D102" s="16" t="n">
        <x:v>7</x:v>
      </x:c>
      <x:c r="E102" s="16" t="n">
        <x:v>0.613</x:v>
      </x:c>
      <x:c r="F102" s="16" t="n">
        <x:f>D102*E102</x:f>
        <x:v>4.291</x:v>
      </x:c>
      <x:c r="G102" s="16" t="n">
        <x:v>0.908</x:v>
      </x:c>
      <x:c r="H102" s="16" t="n">
        <x:f>F102/G102</x:f>
        <x:v>4.725770925110132</x:v>
      </x:c>
      <x:c r="I102" s="16" t="n">
        <x:v>0.784</x:v>
      </x:c>
      <x:c r="J102" s="16" t="n">
        <x:f>F102*I102</x:f>
        <x:v>3.3641440000000005</x:v>
      </x:c>
      <x:c r="K102" s="16" t="n">
        <x:f>J102*TAN(ACOS(G102))</x:f>
        <x:v>1.552286310722095</x:v>
      </x:c>
      <x:c r="L102" s="16" t="n">
        <x:f>SQRT(J102^2+K102^2)</x:f>
        <x:v>3.7050044052863442</x:v>
      </x:c>
      <x:c r="M102" s="16" t="str">
        <x:v>Three Phase</x:v>
      </x:c>
      <x:c r="N102" s="16" t="str">
        <x:v>RYB</x:v>
      </x:c>
      <x:c r="O102" s="16" t="str">
        <x:v>No</x:v>
      </x:c>
      <x:c r="P102" s="16" t="n">
        <x:v>0</x:v>
      </x:c>
      <x:c r="Q102" s="16" t="n">
        <x:v>0.638</x:v>
      </x:c>
      <x:c r="R102" s="16" t="n">
        <x:v>0</x:v>
      </x:c>
      <x:c r="S102" s="16" t="n">
        <x:f>F102*Q102</x:f>
        <x:v>2.737658</x:v>
      </x:c>
      <x:c r="T102" s="16" t="n">
        <x:f>IF(O102="Yes",P102*R102,0)</x:f>
        <x:v>0</x:v>
      </x:c>
      <x:c r="U102" s="16" t="n">
        <x:f>S102-T102</x:f>
        <x:v>2.737658</x:v>
      </x:c>
      <x:c r="V102" s="16" t="n">
        <x:f>S102*TAN(ACOS(G102))</x:f>
        <x:v>1.2632125844906843</x:v>
      </x:c>
      <x:c r="W102" s="16" t="n">
        <x:f>SQRT(U102^2+V102^2)</x:f>
        <x:v>3.0150418502202645</x:v>
      </x:c>
      <x:c r="X102" s="13" t="str">
        <x:v>No</x:v>
      </x:c>
      <x:c r="Y102" s="13" t="str"/>
      <x:c r="Z102" s="18" t="str"/>
      <x:c r="AA102" s="13" t="str"/>
      <x:c r="AB102" s="18" t="str"/>
      <x:c r="AC102" s="13" t="str">
        <x:v>No</x:v>
      </x:c>
      <x:c r="AD102" s="16" t="n">
        <x:f>IF(M102="Three Phase",J102/3,IF(N102="R",J102,0))</x:f>
        <x:v>1.1213813333333336</x:v>
      </x:c>
      <x:c r="AE102" s="16" t="n">
        <x:f>IF(M102="Three Phase",K102/3,IF(N102="R",K102,0))</x:f>
        <x:v>0.5174287702406983</x:v>
      </x:c>
      <x:c r="AF102" s="16" t="n">
        <x:f>IF(M102="Three Phase",J102/3,IF(N102="Y",J102,0))</x:f>
        <x:v>1.1213813333333336</x:v>
      </x:c>
      <x:c r="AG102" s="16" t="n">
        <x:f>IF(M102="Three Phase",K102/3,IF(N102="Y",K102,0))</x:f>
        <x:v>0.5174287702406983</x:v>
      </x:c>
      <x:c r="AH102" s="16" t="n">
        <x:f>IF(M102="Three Phase",J102/3,IF(N102="B",J102,0))</x:f>
        <x:v>1.1213813333333336</x:v>
      </x:c>
      <x:c r="AI102" s="16" t="n">
        <x:f>IF(M102="Three Phase",K102/3,IF(N102="B",K102,0))</x:f>
        <x:v>0.5174287702406983</x:v>
      </x:c>
      <x:c r="AJ102" s="16" t="n">
        <x:f>IF(M102="Three Phase",U102/3,IF(N102="R",U102,0))</x:f>
        <x:v>0.9125526666666667</x:v>
      </x:c>
      <x:c r="AK102" s="16" t="n">
        <x:f>IF(M102="Three Phase",V102/3,IF(N102="R",V102,0))</x:f>
        <x:v>0.42107086149689477</x:v>
      </x:c>
      <x:c r="AL102" s="16" t="n">
        <x:f>IF(M102="Three Phase",U102/3,IF(N102="Y",U102,0))</x:f>
        <x:v>0.9125526666666667</x:v>
      </x:c>
      <x:c r="AM102" s="16" t="n">
        <x:f>IF(M102="Three Phase",V102/3,IF(N102="Y",V102,0))</x:f>
        <x:v>0.42107086149689477</x:v>
      </x:c>
      <x:c r="AN102" s="16" t="n">
        <x:f>IF(M102="Three Phase",U102/3,IF(N102="B",U102,0))</x:f>
        <x:v>0.9125526666666667</x:v>
      </x:c>
      <x:c r="AO102" s="16" t="n">
        <x:f>IF(M102="Three Phase",V102/3,IF(N102="B",V102,0))</x:f>
        <x:v>0.42107086149689477</x:v>
      </x:c>
    </x:row>
    <x:row r="103">
      <x:c r="A103" s="13" t="str">
        <x:v>C0102</x:v>
      </x:c>
      <x:c r="B103" s="13" t="str">
        <x:v>DT-7</x:v>
      </x:c>
      <x:c r="C103" s="13" t="str">
        <x:v>Residential</x:v>
      </x:c>
      <x:c r="D103" s="16" t="n">
        <x:v>4.5</x:v>
      </x:c>
      <x:c r="E103" s="16" t="n">
        <x:v>0.459</x:v>
      </x:c>
      <x:c r="F103" s="16" t="n">
        <x:f>D103*E103</x:f>
        <x:v>2.0655</x:v>
      </x:c>
      <x:c r="G103" s="16" t="n">
        <x:v>0.947</x:v>
      </x:c>
      <x:c r="H103" s="16" t="n">
        <x:f>F103/G103</x:f>
        <x:v>2.1810982048574448</x:v>
      </x:c>
      <x:c r="I103" s="16" t="n">
        <x:v>0.745</x:v>
      </x:c>
      <x:c r="J103" s="16" t="n">
        <x:f>F103*I103</x:f>
        <x:v>1.5387975</x:v>
      </x:c>
      <x:c r="K103" s="16" t="n">
        <x:f>J103*TAN(ACOS(G103))</x:f>
        <x:v>0.52197824590896</x:v>
      </x:c>
      <x:c r="L103" s="16" t="n">
        <x:f>SQRT(J103^2+K103^2)</x:f>
        <x:v>1.6249181626187963</x:v>
      </x:c>
      <x:c r="M103" s="16" t="str">
        <x:v>Single Phase</x:v>
      </x:c>
      <x:c r="N103" s="16" t="str">
        <x:v>B</x:v>
      </x:c>
      <x:c r="O103" s="16" t="str">
        <x:v>No</x:v>
      </x:c>
      <x:c r="P103" s="16" t="n">
        <x:v>0</x:v>
      </x:c>
      <x:c r="Q103" s="16" t="n">
        <x:v>0.249</x:v>
      </x:c>
      <x:c r="R103" s="16" t="n">
        <x:v>0</x:v>
      </x:c>
      <x:c r="S103" s="16" t="n">
        <x:f>F103*Q103</x:f>
        <x:v>0.5143095</x:v>
      </x:c>
      <x:c r="T103" s="16" t="n">
        <x:f>IF(O103="Yes",P103*R103,0)</x:f>
        <x:v>0</x:v>
      </x:c>
      <x:c r="U103" s="16" t="n">
        <x:f>S103-T103</x:f>
        <x:v>0.5143095</x:v>
      </x:c>
      <x:c r="V103" s="16" t="n">
        <x:f>S103*TAN(ACOS(G103))</x:f>
        <x:v>0.17445984326353162</x:v>
      </x:c>
      <x:c r="W103" s="16" t="n">
        <x:f>SQRT(U103^2+V103^2)</x:f>
        <x:v>0.5430934530095036</x:v>
      </x:c>
      <x:c r="X103" s="13" t="str">
        <x:v>Yes</x:v>
      </x:c>
      <x:c r="Y103" s="13" t="str">
        <x:v>DT-5</x:v>
      </x:c>
      <x:c r="Z103" s="18" t="n">
        <x:v>45</x:v>
      </x:c>
      <x:c r="AA103" s="13" t="str"/>
      <x:c r="AB103" s="18" t="str"/>
      <x:c r="AC103" s="13" t="str">
        <x:v>Yes</x:v>
      </x:c>
      <x:c r="AD103" s="16" t="n">
        <x:f>IF(M103="Three Phase",J103/3,IF(N103="R",J103,0))</x:f>
        <x:v>0</x:v>
      </x:c>
      <x:c r="AE103" s="16" t="n">
        <x:f>IF(M103="Three Phase",K103/3,IF(N103="R",K103,0))</x:f>
        <x:v>0</x:v>
      </x:c>
      <x:c r="AF103" s="16" t="n">
        <x:f>IF(M103="Three Phase",J103/3,IF(N103="Y",J103,0))</x:f>
        <x:v>0</x:v>
      </x:c>
      <x:c r="AG103" s="16" t="n">
        <x:f>IF(M103="Three Phase",K103/3,IF(N103="Y",K103,0))</x:f>
        <x:v>0</x:v>
      </x:c>
      <x:c r="AH103" s="16" t="n">
        <x:f>IF(M103="Three Phase",J103/3,IF(N103="B",J103,0))</x:f>
        <x:v>1.5387975</x:v>
      </x:c>
      <x:c r="AI103" s="16" t="n">
        <x:f>IF(M103="Three Phase",K103/3,IF(N103="B",K103,0))</x:f>
        <x:v>0.52197824590896</x:v>
      </x:c>
      <x:c r="AJ103" s="16" t="n">
        <x:f>IF(M103="Three Phase",U103/3,IF(N103="R",U103,0))</x:f>
        <x:v>0</x:v>
      </x:c>
      <x:c r="AK103" s="16" t="n">
        <x:f>IF(M103="Three Phase",V103/3,IF(N103="R",V103,0))</x:f>
        <x:v>0</x:v>
      </x:c>
      <x:c r="AL103" s="16" t="n">
        <x:f>IF(M103="Three Phase",U103/3,IF(N103="Y",U103,0))</x:f>
        <x:v>0</x:v>
      </x:c>
      <x:c r="AM103" s="16" t="n">
        <x:f>IF(M103="Three Phase",V103/3,IF(N103="Y",V103,0))</x:f>
        <x:v>0</x:v>
      </x:c>
      <x:c r="AN103" s="16" t="n">
        <x:f>IF(M103="Three Phase",U103/3,IF(N103="B",U103,0))</x:f>
        <x:v>0.5143095</x:v>
      </x:c>
      <x:c r="AO103" s="16" t="n">
        <x:f>IF(M103="Three Phase",V103/3,IF(N103="B",V103,0))</x:f>
        <x:v>0.17445984326353162</x:v>
      </x:c>
    </x:row>
    <x:row r="104">
      <x:c r="A104" s="13" t="str">
        <x:v>C0103</x:v>
      </x:c>
      <x:c r="B104" s="13" t="str">
        <x:v>DT-7</x:v>
      </x:c>
      <x:c r="C104" s="13" t="str">
        <x:v>Industrial</x:v>
      </x:c>
      <x:c r="D104" s="16" t="n">
        <x:v>36.5</x:v>
      </x:c>
      <x:c r="E104" s="16" t="n">
        <x:v>0.673</x:v>
      </x:c>
      <x:c r="F104" s="16" t="n">
        <x:f>D104*E104</x:f>
        <x:v>24.564500000000002</x:v>
      </x:c>
      <x:c r="G104" s="16" t="n">
        <x:v>0.913</x:v>
      </x:c>
      <x:c r="H104" s="16" t="n">
        <x:f>F104/G104</x:f>
        <x:v>26.9052573932092</x:v>
      </x:c>
      <x:c r="I104" s="16" t="n">
        <x:v>0.995</x:v>
      </x:c>
      <x:c r="J104" s="16" t="n">
        <x:f>F104*I104</x:f>
        <x:v>24.4416775</x:v>
      </x:c>
      <x:c r="K104" s="16" t="n">
        <x:f>J104*TAN(ACOS(G104))</x:f>
        <x:v>10.921375597825053</x:v>
      </x:c>
      <x:c r="L104" s="16" t="n">
        <x:f>SQRT(J104^2+K104^2)</x:f>
        <x:v>26.770731106243154</x:v>
      </x:c>
      <x:c r="M104" s="16" t="str">
        <x:v>Three Phase</x:v>
      </x:c>
      <x:c r="N104" s="16" t="str">
        <x:v>RYB</x:v>
      </x:c>
      <x:c r="O104" s="16" t="str">
        <x:v>Yes</x:v>
      </x:c>
      <x:c r="P104" s="16" t="n">
        <x:v>6.5</x:v>
      </x:c>
      <x:c r="Q104" s="16" t="n">
        <x:v>0.616</x:v>
      </x:c>
      <x:c r="R104" s="16" t="n">
        <x:v>0.798</x:v>
      </x:c>
      <x:c r="S104" s="16" t="n">
        <x:f>F104*Q104</x:f>
        <x:v>15.131732000000001</x:v>
      </x:c>
      <x:c r="T104" s="16" t="n">
        <x:f>IF(O104="Yes",P104*R104,0)</x:f>
        <x:v>5.187</x:v>
      </x:c>
      <x:c r="U104" s="16" t="n">
        <x:f>S104-T104</x:f>
        <x:v>9.944732000000002</x:v>
      </x:c>
      <x:c r="V104" s="16" t="n">
        <x:f>S104*TAN(ACOS(G104))</x:f>
        <x:v>6.7613742394575205</x:v>
      </x:c>
      <x:c r="W104" s="16" t="n">
        <x:f>SQRT(U104^2+V104^2)</x:f>
        <x:v>12.02555097107088</x:v>
      </x:c>
      <x:c r="X104" s="13" t="str">
        <x:v>No</x:v>
      </x:c>
      <x:c r="Y104" s="13" t="str"/>
      <x:c r="Z104" s="18" t="str"/>
      <x:c r="AA104" s="13" t="str"/>
      <x:c r="AB104" s="18" t="str"/>
      <x:c r="AC104" s="13" t="str">
        <x:v>No</x:v>
      </x:c>
      <x:c r="AD104" s="16" t="n">
        <x:f>IF(M104="Three Phase",J104/3,IF(N104="R",J104,0))</x:f>
        <x:v>8.147225833333334</x:v>
      </x:c>
      <x:c r="AE104" s="16" t="n">
        <x:f>IF(M104="Three Phase",K104/3,IF(N104="R",K104,0))</x:f>
        <x:v>3.640458532608351</x:v>
      </x:c>
      <x:c r="AF104" s="16" t="n">
        <x:f>IF(M104="Three Phase",J104/3,IF(N104="Y",J104,0))</x:f>
        <x:v>8.147225833333334</x:v>
      </x:c>
      <x:c r="AG104" s="16" t="n">
        <x:f>IF(M104="Three Phase",K104/3,IF(N104="Y",K104,0))</x:f>
        <x:v>3.640458532608351</x:v>
      </x:c>
      <x:c r="AH104" s="16" t="n">
        <x:f>IF(M104="Three Phase",J104/3,IF(N104="B",J104,0))</x:f>
        <x:v>8.147225833333334</x:v>
      </x:c>
      <x:c r="AI104" s="16" t="n">
        <x:f>IF(M104="Three Phase",K104/3,IF(N104="B",K104,0))</x:f>
        <x:v>3.640458532608351</x:v>
      </x:c>
      <x:c r="AJ104" s="16" t="n">
        <x:f>IF(M104="Three Phase",U104/3,IF(N104="R",U104,0))</x:f>
        <x:v>3.3149106666666674</x:v>
      </x:c>
      <x:c r="AK104" s="16" t="n">
        <x:f>IF(M104="Three Phase",V104/3,IF(N104="R",V104,0))</x:f>
        <x:v>2.253791413152507</x:v>
      </x:c>
      <x:c r="AL104" s="16" t="n">
        <x:f>IF(M104="Three Phase",U104/3,IF(N104="Y",U104,0))</x:f>
        <x:v>3.3149106666666674</x:v>
      </x:c>
      <x:c r="AM104" s="16" t="n">
        <x:f>IF(M104="Three Phase",V104/3,IF(N104="Y",V104,0))</x:f>
        <x:v>2.253791413152507</x:v>
      </x:c>
      <x:c r="AN104" s="16" t="n">
        <x:f>IF(M104="Three Phase",U104/3,IF(N104="B",U104,0))</x:f>
        <x:v>3.3149106666666674</x:v>
      </x:c>
      <x:c r="AO104" s="16" t="n">
        <x:f>IF(M104="Three Phase",V104/3,IF(N104="B",V104,0))</x:f>
        <x:v>2.253791413152507</x:v>
      </x:c>
    </x:row>
    <x:row r="105">
      <x:c r="A105" s="13" t="str">
        <x:v>C0104</x:v>
      </x:c>
      <x:c r="B105" s="13" t="str">
        <x:v>DT-7</x:v>
      </x:c>
      <x:c r="C105" s="13" t="str">
        <x:v>Industrial</x:v>
      </x:c>
      <x:c r="D105" s="16" t="n">
        <x:v>10.5</x:v>
      </x:c>
      <x:c r="E105" s="16" t="n">
        <x:v>0.835</x:v>
      </x:c>
      <x:c r="F105" s="16" t="n">
        <x:f>D105*E105</x:f>
        <x:v>8.7675</x:v>
      </x:c>
      <x:c r="G105" s="16" t="n">
        <x:v>0.918</x:v>
      </x:c>
      <x:c r="H105" s="16" t="n">
        <x:f>F105/G105</x:f>
        <x:v>9.55065359477124</x:v>
      </x:c>
      <x:c r="I105" s="16" t="n">
        <x:v>0.864</x:v>
      </x:c>
      <x:c r="J105" s="16" t="n">
        <x:f>F105*I105</x:f>
        <x:v>7.57512</x:v>
      </x:c>
      <x:c r="K105" s="16" t="n">
        <x:f>J105*TAN(ACOS(G105))</x:f>
        <x:v>3.272488005607609</x:v>
      </x:c>
      <x:c r="L105" s="16" t="n">
        <x:f>SQRT(J105^2+K105^2)</x:f>
        <x:v>8.251764705882353</x:v>
      </x:c>
      <x:c r="M105" s="16" t="str">
        <x:v>Three Phase</x:v>
      </x:c>
      <x:c r="N105" s="16" t="str">
        <x:v>RYB</x:v>
      </x:c>
      <x:c r="O105" s="16" t="str">
        <x:v>No</x:v>
      </x:c>
      <x:c r="P105" s="16" t="n">
        <x:v>0</x:v>
      </x:c>
      <x:c r="Q105" s="16" t="n">
        <x:v>0.635</x:v>
      </x:c>
      <x:c r="R105" s="16" t="n">
        <x:v>0</x:v>
      </x:c>
      <x:c r="S105" s="16" t="n">
        <x:f>F105*Q105</x:f>
        <x:v>5.5673625</x:v>
      </x:c>
      <x:c r="T105" s="16" t="n">
        <x:f>IF(O105="Yes",P105*R105,0)</x:f>
        <x:v>0</x:v>
      </x:c>
      <x:c r="U105" s="16" t="n">
        <x:f>S105-T105</x:f>
        <x:v>5.5673625</x:v>
      </x:c>
      <x:c r="V105" s="16" t="n">
        <x:f>S105*TAN(ACOS(G105))</x:f>
        <x:v>2.4051271800472587</x:v>
      </x:c>
      <x:c r="W105" s="16" t="n">
        <x:f>SQRT(U105^2+V105^2)</x:f>
        <x:v>6.064665032679738</x:v>
      </x:c>
      <x:c r="X105" s="13" t="str">
        <x:v>No</x:v>
      </x:c>
      <x:c r="Y105" s="13" t="str"/>
      <x:c r="Z105" s="18" t="str"/>
      <x:c r="AA105" s="13" t="str"/>
      <x:c r="AB105" s="18" t="str"/>
      <x:c r="AC105" s="13" t="str">
        <x:v>No</x:v>
      </x:c>
      <x:c r="AD105" s="16" t="n">
        <x:f>IF(M105="Three Phase",J105/3,IF(N105="R",J105,0))</x:f>
        <x:v>2.52504</x:v>
      </x:c>
      <x:c r="AE105" s="16" t="n">
        <x:f>IF(M105="Three Phase",K105/3,IF(N105="R",K105,0))</x:f>
        <x:v>1.0908293352025364</x:v>
      </x:c>
      <x:c r="AF105" s="16" t="n">
        <x:f>IF(M105="Three Phase",J105/3,IF(N105="Y",J105,0))</x:f>
        <x:v>2.52504</x:v>
      </x:c>
      <x:c r="AG105" s="16" t="n">
        <x:f>IF(M105="Three Phase",K105/3,IF(N105="Y",K105,0))</x:f>
        <x:v>1.0908293352025364</x:v>
      </x:c>
      <x:c r="AH105" s="16" t="n">
        <x:f>IF(M105="Three Phase",J105/3,IF(N105="B",J105,0))</x:f>
        <x:v>2.52504</x:v>
      </x:c>
      <x:c r="AI105" s="16" t="n">
        <x:f>IF(M105="Three Phase",K105/3,IF(N105="B",K105,0))</x:f>
        <x:v>1.0908293352025364</x:v>
      </x:c>
      <x:c r="AJ105" s="16" t="n">
        <x:f>IF(M105="Three Phase",U105/3,IF(N105="R",U105,0))</x:f>
        <x:v>1.8557875</x:v>
      </x:c>
      <x:c r="AK105" s="16" t="n">
        <x:f>IF(M105="Three Phase",V105/3,IF(N105="R",V105,0))</x:f>
        <x:v>0.8017090600157529</x:v>
      </x:c>
      <x:c r="AL105" s="16" t="n">
        <x:f>IF(M105="Three Phase",U105/3,IF(N105="Y",U105,0))</x:f>
        <x:v>1.8557875</x:v>
      </x:c>
      <x:c r="AM105" s="16" t="n">
        <x:f>IF(M105="Three Phase",V105/3,IF(N105="Y",V105,0))</x:f>
        <x:v>0.8017090600157529</x:v>
      </x:c>
      <x:c r="AN105" s="16" t="n">
        <x:f>IF(M105="Three Phase",U105/3,IF(N105="B",U105,0))</x:f>
        <x:v>1.8557875</x:v>
      </x:c>
      <x:c r="AO105" s="16" t="n">
        <x:f>IF(M105="Three Phase",V105/3,IF(N105="B",V105,0))</x:f>
        <x:v>0.8017090600157529</x:v>
      </x:c>
    </x:row>
    <x:row r="106">
      <x:c r="A106" s="13" t="str">
        <x:v>C0105</x:v>
      </x:c>
      <x:c r="B106" s="13" t="str">
        <x:v>DT-7</x:v>
      </x:c>
      <x:c r="C106" s="13" t="str">
        <x:v>Residential</x:v>
      </x:c>
      <x:c r="D106" s="16" t="n">
        <x:v>4</x:v>
      </x:c>
      <x:c r="E106" s="16" t="n">
        <x:v>0.739</x:v>
      </x:c>
      <x:c r="F106" s="16" t="n">
        <x:f>D106*E106</x:f>
        <x:v>2.956</x:v>
      </x:c>
      <x:c r="G106" s="16" t="n">
        <x:v>0.936</x:v>
      </x:c>
      <x:c r="H106" s="16" t="n">
        <x:f>F106/G106</x:f>
        <x:v>3.158119658119658</x:v>
      </x:c>
      <x:c r="I106" s="16" t="n">
        <x:v>0.832</x:v>
      </x:c>
      <x:c r="J106" s="16" t="n">
        <x:f>F106*I106</x:f>
        <x:v>2.459392</x:v>
      </x:c>
      <x:c r="K106" s="16" t="n">
        <x:f>J106*TAN(ACOS(G106))</x:f>
        <x:v>0.924899555555555</x:v>
      </x:c>
      <x:c r="L106" s="16" t="n">
        <x:f>SQRT(J106^2+K106^2)</x:f>
        <x:v>2.627555555555555</x:v>
      </x:c>
      <x:c r="M106" s="16" t="str">
        <x:v>Single Phase</x:v>
      </x:c>
      <x:c r="N106" s="16" t="str">
        <x:v>B</x:v>
      </x:c>
      <x:c r="O106" s="16" t="str">
        <x:v>Yes</x:v>
      </x:c>
      <x:c r="P106" s="16" t="n">
        <x:v>3.5</x:v>
      </x:c>
      <x:c r="Q106" s="16" t="n">
        <x:v>0.237</x:v>
      </x:c>
      <x:c r="R106" s="16" t="n">
        <x:v>0.802</x:v>
      </x:c>
      <x:c r="S106" s="16" t="n">
        <x:f>F106*Q106</x:f>
        <x:v>0.700572</x:v>
      </x:c>
      <x:c r="T106" s="16" t="n">
        <x:f>IF(O106="Yes",P106*R106,0)</x:f>
        <x:v>2.8070000000000004</x:v>
      </x:c>
      <x:c r="U106" s="16" t="n">
        <x:f>S106-T106</x:f>
        <x:v>-2.106428</x:v>
      </x:c>
      <x:c r="V106" s="16" t="n">
        <x:f>S106*TAN(ACOS(G106))</x:f>
        <x:v>0.26346297435897426</x:v>
      </x:c>
      <x:c r="W106" s="16" t="n">
        <x:f>SQRT(U106^2+V106^2)</x:f>
        <x:v>2.1228404692868654</x:v>
      </x:c>
      <x:c r="X106" s="13" t="str">
        <x:v>No</x:v>
      </x:c>
      <x:c r="Y106" s="13" t="str"/>
      <x:c r="Z106" s="18" t="str"/>
      <x:c r="AA106" s="13" t="str"/>
      <x:c r="AB106" s="18" t="str"/>
      <x:c r="AC106" s="13" t="str">
        <x:v>Yes</x:v>
      </x:c>
      <x:c r="AD106" s="16" t="n">
        <x:f>IF(M106="Three Phase",J106/3,IF(N106="R",J106,0))</x:f>
        <x:v>0</x:v>
      </x:c>
      <x:c r="AE106" s="16" t="n">
        <x:f>IF(M106="Three Phase",K106/3,IF(N106="R",K106,0))</x:f>
        <x:v>0</x:v>
      </x:c>
      <x:c r="AF106" s="16" t="n">
        <x:f>IF(M106="Three Phase",J106/3,IF(N106="Y",J106,0))</x:f>
        <x:v>0</x:v>
      </x:c>
      <x:c r="AG106" s="16" t="n">
        <x:f>IF(M106="Three Phase",K106/3,IF(N106="Y",K106,0))</x:f>
        <x:v>0</x:v>
      </x:c>
      <x:c r="AH106" s="16" t="n">
        <x:f>IF(M106="Three Phase",J106/3,IF(N106="B",J106,0))</x:f>
        <x:v>2.459392</x:v>
      </x:c>
      <x:c r="AI106" s="16" t="n">
        <x:f>IF(M106="Three Phase",K106/3,IF(N106="B",K106,0))</x:f>
        <x:v>0.924899555555555</x:v>
      </x:c>
      <x:c r="AJ106" s="16" t="n">
        <x:f>IF(M106="Three Phase",U106/3,IF(N106="R",U106,0))</x:f>
        <x:v>0</x:v>
      </x:c>
      <x:c r="AK106" s="16" t="n">
        <x:f>IF(M106="Three Phase",V106/3,IF(N106="R",V106,0))</x:f>
        <x:v>0</x:v>
      </x:c>
      <x:c r="AL106" s="16" t="n">
        <x:f>IF(M106="Three Phase",U106/3,IF(N106="Y",U106,0))</x:f>
        <x:v>0</x:v>
      </x:c>
      <x:c r="AM106" s="16" t="n">
        <x:f>IF(M106="Three Phase",V106/3,IF(N106="Y",V106,0))</x:f>
        <x:v>0</x:v>
      </x:c>
      <x:c r="AN106" s="16" t="n">
        <x:f>IF(M106="Three Phase",U106/3,IF(N106="B",U106,0))</x:f>
        <x:v>-2.106428</x:v>
      </x:c>
      <x:c r="AO106" s="16" t="n">
        <x:f>IF(M106="Three Phase",V106/3,IF(N106="B",V106,0))</x:f>
        <x:v>0.26346297435897426</x:v>
      </x:c>
    </x:row>
    <x:row r="107">
      <x:c r="A107" s="13" t="str">
        <x:v>C0106</x:v>
      </x:c>
      <x:c r="B107" s="13" t="str">
        <x:v>DT-7</x:v>
      </x:c>
      <x:c r="C107" s="13" t="str">
        <x:v>Commercial</x:v>
      </x:c>
      <x:c r="D107" s="16" t="n">
        <x:v>6.5</x:v>
      </x:c>
      <x:c r="E107" s="16" t="n">
        <x:v>0.586</x:v>
      </x:c>
      <x:c r="F107" s="16" t="n">
        <x:f>D107*E107</x:f>
        <x:v>3.8089999999999997</x:v>
      </x:c>
      <x:c r="G107" s="16" t="n">
        <x:v>0.949</x:v>
      </x:c>
      <x:c r="H107" s="16" t="n">
        <x:f>F107/G107</x:f>
        <x:v>4.013698630136986</x:v>
      </x:c>
      <x:c r="I107" s="16" t="n">
        <x:v>0.632</x:v>
      </x:c>
      <x:c r="J107" s="16" t="n">
        <x:f>F107*I107</x:f>
        <x:v>2.407288</x:v>
      </x:c>
      <x:c r="K107" s="16" t="n">
        <x:f>J107*TAN(ACOS(G107))</x:f>
        <x:v>0.7997474170673613</x:v>
      </x:c>
      <x:c r="L107" s="16" t="n">
        <x:f>SQRT(J107^2+K107^2)</x:f>
        <x:v>2.5366575342465754</x:v>
      </x:c>
      <x:c r="M107" s="16" t="str">
        <x:v>Three Phase</x:v>
      </x:c>
      <x:c r="N107" s="16" t="str">
        <x:v>RYB</x:v>
      </x:c>
      <x:c r="O107" s="16" t="str">
        <x:v>No</x:v>
      </x:c>
      <x:c r="P107" s="16" t="n">
        <x:v>0</x:v>
      </x:c>
      <x:c r="Q107" s="16" t="n">
        <x:v>0.732</x:v>
      </x:c>
      <x:c r="R107" s="16" t="n">
        <x:v>0</x:v>
      </x:c>
      <x:c r="S107" s="16" t="n">
        <x:f>F107*Q107</x:f>
        <x:v>2.788188</x:v>
      </x:c>
      <x:c r="T107" s="16" t="n">
        <x:f>IF(O107="Yes",P107*R107,0)</x:f>
        <x:v>0</x:v>
      </x:c>
      <x:c r="U107" s="16" t="n">
        <x:f>S107-T107</x:f>
        <x:v>2.788188</x:v>
      </x:c>
      <x:c r="V107" s="16" t="n">
        <x:f>S107*TAN(ACOS(G107))</x:f>
        <x:v>0.9262897298944754</x:v>
      </x:c>
      <x:c r="W107" s="16" t="n">
        <x:f>SQRT(U107^2+V107^2)</x:f>
        <x:v>2.938027397260274</x:v>
      </x:c>
      <x:c r="X107" s="13" t="str">
        <x:v>Yes</x:v>
      </x:c>
      <x:c r="Y107" s="13" t="str">
        <x:v>DT-5</x:v>
      </x:c>
      <x:c r="Z107" s="18" t="n">
        <x:v>120</x:v>
      </x:c>
      <x:c r="AA107" s="13" t="str"/>
      <x:c r="AB107" s="18" t="str"/>
      <x:c r="AC107" s="13" t="str">
        <x:v>No</x:v>
      </x:c>
      <x:c r="AD107" s="16" t="n">
        <x:f>IF(M107="Three Phase",J107/3,IF(N107="R",J107,0))</x:f>
        <x:v>0.8024293333333333</x:v>
      </x:c>
      <x:c r="AE107" s="16" t="n">
        <x:f>IF(M107="Three Phase",K107/3,IF(N107="R",K107,0))</x:f>
        <x:v>0.2665824723557871</x:v>
      </x:c>
      <x:c r="AF107" s="16" t="n">
        <x:f>IF(M107="Three Phase",J107/3,IF(N107="Y",J107,0))</x:f>
        <x:v>0.8024293333333333</x:v>
      </x:c>
      <x:c r="AG107" s="16" t="n">
        <x:f>IF(M107="Three Phase",K107/3,IF(N107="Y",K107,0))</x:f>
        <x:v>0.2665824723557871</x:v>
      </x:c>
      <x:c r="AH107" s="16" t="n">
        <x:f>IF(M107="Three Phase",J107/3,IF(N107="B",J107,0))</x:f>
        <x:v>0.8024293333333333</x:v>
      </x:c>
      <x:c r="AI107" s="16" t="n">
        <x:f>IF(M107="Three Phase",K107/3,IF(N107="B",K107,0))</x:f>
        <x:v>0.2665824723557871</x:v>
      </x:c>
      <x:c r="AJ107" s="16" t="n">
        <x:f>IF(M107="Three Phase",U107/3,IF(N107="R",U107,0))</x:f>
        <x:v>0.929396</x:v>
      </x:c>
      <x:c r="AK107" s="16" t="n">
        <x:f>IF(M107="Three Phase",V107/3,IF(N107="R",V107,0))</x:f>
        <x:v>0.30876324329815846</x:v>
      </x:c>
      <x:c r="AL107" s="16" t="n">
        <x:f>IF(M107="Three Phase",U107/3,IF(N107="Y",U107,0))</x:f>
        <x:v>0.929396</x:v>
      </x:c>
      <x:c r="AM107" s="16" t="n">
        <x:f>IF(M107="Three Phase",V107/3,IF(N107="Y",V107,0))</x:f>
        <x:v>0.30876324329815846</x:v>
      </x:c>
      <x:c r="AN107" s="16" t="n">
        <x:f>IF(M107="Three Phase",U107/3,IF(N107="B",U107,0))</x:f>
        <x:v>0.929396</x:v>
      </x:c>
      <x:c r="AO107" s="16" t="n">
        <x:f>IF(M107="Three Phase",V107/3,IF(N107="B",V107,0))</x:f>
        <x:v>0.30876324329815846</x:v>
      </x:c>
    </x:row>
    <x:row r="108">
      <x:c r="A108" s="13" t="str">
        <x:v>C0107</x:v>
      </x:c>
      <x:c r="B108" s="13" t="str">
        <x:v>DT-7</x:v>
      </x:c>
      <x:c r="C108" s="13" t="str">
        <x:v>Commercial</x:v>
      </x:c>
      <x:c r="D108" s="16" t="n">
        <x:v>17</x:v>
      </x:c>
      <x:c r="E108" s="16" t="n">
        <x:v>0.771</x:v>
      </x:c>
      <x:c r="F108" s="16" t="n">
        <x:f>D108*E108</x:f>
        <x:v>13.107000000000001</x:v>
      </x:c>
      <x:c r="G108" s="16" t="n">
        <x:v>0.96</x:v>
      </x:c>
      <x:c r="H108" s="16" t="n">
        <x:f>F108/G108</x:f>
        <x:v>13.653125000000001</x:v>
      </x:c>
      <x:c r="I108" s="16" t="n">
        <x:v>0.72</x:v>
      </x:c>
      <x:c r="J108" s="16" t="n">
        <x:f>F108*I108</x:f>
        <x:v>9.43704</x:v>
      </x:c>
      <x:c r="K108" s="16" t="n">
        <x:f>J108*TAN(ACOS(G108))</x:f>
        <x:v>2.752470000000001</x:v>
      </x:c>
      <x:c r="L108" s="16" t="n">
        <x:f>SQRT(J108^2+K108^2)</x:f>
        <x:v>9.83025</x:v>
      </x:c>
      <x:c r="M108" s="16" t="str">
        <x:v>Three Phase</x:v>
      </x:c>
      <x:c r="N108" s="16" t="str">
        <x:v>RYB</x:v>
      </x:c>
      <x:c r="O108" s="16" t="str">
        <x:v>No</x:v>
      </x:c>
      <x:c r="P108" s="16" t="n">
        <x:v>0</x:v>
      </x:c>
      <x:c r="Q108" s="16" t="n">
        <x:v>0.654</x:v>
      </x:c>
      <x:c r="R108" s="16" t="n">
        <x:v>0</x:v>
      </x:c>
      <x:c r="S108" s="16" t="n">
        <x:f>F108*Q108</x:f>
        <x:v>8.571978000000001</x:v>
      </x:c>
      <x:c r="T108" s="16" t="n">
        <x:f>IF(O108="Yes",P108*R108,0)</x:f>
        <x:v>0</x:v>
      </x:c>
      <x:c r="U108" s="16" t="n">
        <x:f>S108-T108</x:f>
        <x:v>8.571978000000001</x:v>
      </x:c>
      <x:c r="V108" s="16" t="n">
        <x:f>S108*TAN(ACOS(G108))</x:f>
        <x:v>2.5001602500000017</x:v>
      </x:c>
      <x:c r="W108" s="16" t="n">
        <x:f>SQRT(U108^2+V108^2)</x:f>
        <x:v>8.929143750000001</x:v>
      </x:c>
      <x:c r="X108" s="13" t="str">
        <x:v>No</x:v>
      </x:c>
      <x:c r="Y108" s="13" t="str"/>
      <x:c r="Z108" s="18" t="str"/>
      <x:c r="AA108" s="13" t="str"/>
      <x:c r="AB108" s="18" t="str"/>
      <x:c r="AC108" s="13" t="str">
        <x:v>No</x:v>
      </x:c>
      <x:c r="AD108" s="16" t="n">
        <x:f>IF(M108="Three Phase",J108/3,IF(N108="R",J108,0))</x:f>
        <x:v>3.14568</x:v>
      </x:c>
      <x:c r="AE108" s="16" t="n">
        <x:f>IF(M108="Three Phase",K108/3,IF(N108="R",K108,0))</x:f>
        <x:v>0.9174900000000004</x:v>
      </x:c>
      <x:c r="AF108" s="16" t="n">
        <x:f>IF(M108="Three Phase",J108/3,IF(N108="Y",J108,0))</x:f>
        <x:v>3.14568</x:v>
      </x:c>
      <x:c r="AG108" s="16" t="n">
        <x:f>IF(M108="Three Phase",K108/3,IF(N108="Y",K108,0))</x:f>
        <x:v>0.9174900000000004</x:v>
      </x:c>
      <x:c r="AH108" s="16" t="n">
        <x:f>IF(M108="Three Phase",J108/3,IF(N108="B",J108,0))</x:f>
        <x:v>3.14568</x:v>
      </x:c>
      <x:c r="AI108" s="16" t="n">
        <x:f>IF(M108="Three Phase",K108/3,IF(N108="B",K108,0))</x:f>
        <x:v>0.9174900000000004</x:v>
      </x:c>
      <x:c r="AJ108" s="16" t="n">
        <x:f>IF(M108="Three Phase",U108/3,IF(N108="R",U108,0))</x:f>
        <x:v>2.8573260000000005</x:v>
      </x:c>
      <x:c r="AK108" s="16" t="n">
        <x:f>IF(M108="Three Phase",V108/3,IF(N108="R",V108,0))</x:f>
        <x:v>0.8333867500000006</x:v>
      </x:c>
      <x:c r="AL108" s="16" t="n">
        <x:f>IF(M108="Three Phase",U108/3,IF(N108="Y",U108,0))</x:f>
        <x:v>2.8573260000000005</x:v>
      </x:c>
      <x:c r="AM108" s="16" t="n">
        <x:f>IF(M108="Three Phase",V108/3,IF(N108="Y",V108,0))</x:f>
        <x:v>0.8333867500000006</x:v>
      </x:c>
      <x:c r="AN108" s="16" t="n">
        <x:f>IF(M108="Three Phase",U108/3,IF(N108="B",U108,0))</x:f>
        <x:v>2.8573260000000005</x:v>
      </x:c>
      <x:c r="AO108" s="16" t="n">
        <x:f>IF(M108="Three Phase",V108/3,IF(N108="B",V108,0))</x:f>
        <x:v>0.8333867500000006</x:v>
      </x:c>
    </x:row>
    <x:row r="109">
      <x:c r="A109" s="13" t="str">
        <x:v>C0108</x:v>
      </x:c>
      <x:c r="B109" s="13" t="str">
        <x:v>DT-7</x:v>
      </x:c>
      <x:c r="C109" s="13" t="str">
        <x:v>Industrial</x:v>
      </x:c>
      <x:c r="D109" s="16" t="n">
        <x:v>10.5</x:v>
      </x:c>
      <x:c r="E109" s="16" t="n">
        <x:v>0.855</x:v>
      </x:c>
      <x:c r="F109" s="16" t="n">
        <x:f>D109*E109</x:f>
        <x:v>8.9775</x:v>
      </x:c>
      <x:c r="G109" s="16" t="n">
        <x:v>0.955</x:v>
      </x:c>
      <x:c r="H109" s="16" t="n">
        <x:f>F109/G109</x:f>
        <x:v>9.400523560209423</x:v>
      </x:c>
      <x:c r="I109" s="16" t="n">
        <x:v>0.79</x:v>
      </x:c>
      <x:c r="J109" s="16" t="n">
        <x:f>F109*I109</x:f>
        <x:v>7.092225</x:v>
      </x:c>
      <x:c r="K109" s="16" t="n">
        <x:f>J109*TAN(ACOS(G109))</x:f>
        <x:v>2.2027173432540885</x:v>
      </x:c>
      <x:c r="L109" s="16" t="n">
        <x:f>SQRT(J109^2+K109^2)</x:f>
        <x:v>7.426413612565446</x:v>
      </x:c>
      <x:c r="M109" s="16" t="str">
        <x:v>Three Phase</x:v>
      </x:c>
      <x:c r="N109" s="16" t="str">
        <x:v>RYB</x:v>
      </x:c>
      <x:c r="O109" s="16" t="str">
        <x:v>Yes</x:v>
      </x:c>
      <x:c r="P109" s="16" t="n">
        <x:v>20.5</x:v>
      </x:c>
      <x:c r="Q109" s="16" t="n">
        <x:v>0.666</x:v>
      </x:c>
      <x:c r="R109" s="16" t="n">
        <x:v>0.921</x:v>
      </x:c>
      <x:c r="S109" s="16" t="n">
        <x:f>F109*Q109</x:f>
        <x:v>5.9790149999999995</x:v>
      </x:c>
      <x:c r="T109" s="16" t="n">
        <x:f>IF(O109="Yes",P109*R109,0)</x:f>
        <x:v>18.8805</x:v>
      </x:c>
      <x:c r="U109" s="16" t="n">
        <x:f>S109-T109</x:f>
        <x:v>-12.901485000000001</x:v>
      </x:c>
      <x:c r="V109" s="16" t="n">
        <x:f>S109*TAN(ACOS(G109))</x:f>
        <x:v>1.8569743678572441</x:v>
      </x:c>
      <x:c r="W109" s="16" t="n">
        <x:f>SQRT(U109^2+V109^2)</x:f>
        <x:v>13.034441645429382</x:v>
      </x:c>
      <x:c r="X109" s="13" t="str">
        <x:v>Yes</x:v>
      </x:c>
      <x:c r="Y109" s="13" t="str">
        <x:v>DT-5</x:v>
      </x:c>
      <x:c r="Z109" s="18" t="n">
        <x:v>40</x:v>
      </x:c>
      <x:c r="AA109" s="13" t="str">
        <x:v>DT-8</x:v>
      </x:c>
      <x:c r="AB109" s="18" t="n">
        <x:v>24</x:v>
      </x:c>
      <x:c r="AC109" s="13" t="str">
        <x:v>No</x:v>
      </x:c>
      <x:c r="AD109" s="16" t="n">
        <x:f>IF(M109="Three Phase",J109/3,IF(N109="R",J109,0))</x:f>
        <x:v>2.364075</x:v>
      </x:c>
      <x:c r="AE109" s="16" t="n">
        <x:f>IF(M109="Three Phase",K109/3,IF(N109="R",K109,0))</x:f>
        <x:v>0.7342391144180295</x:v>
      </x:c>
      <x:c r="AF109" s="16" t="n">
        <x:f>IF(M109="Three Phase",J109/3,IF(N109="Y",J109,0))</x:f>
        <x:v>2.364075</x:v>
      </x:c>
      <x:c r="AG109" s="16" t="n">
        <x:f>IF(M109="Three Phase",K109/3,IF(N109="Y",K109,0))</x:f>
        <x:v>0.7342391144180295</x:v>
      </x:c>
      <x:c r="AH109" s="16" t="n">
        <x:f>IF(M109="Three Phase",J109/3,IF(N109="B",J109,0))</x:f>
        <x:v>2.364075</x:v>
      </x:c>
      <x:c r="AI109" s="16" t="n">
        <x:f>IF(M109="Three Phase",K109/3,IF(N109="B",K109,0))</x:f>
        <x:v>0.7342391144180295</x:v>
      </x:c>
      <x:c r="AJ109" s="16" t="n">
        <x:f>IF(M109="Three Phase",U109/3,IF(N109="R",U109,0))</x:f>
        <x:v>-4.300495000000001</x:v>
      </x:c>
      <x:c r="AK109" s="16" t="n">
        <x:f>IF(M109="Three Phase",V109/3,IF(N109="R",V109,0))</x:f>
        <x:v>0.6189914559524147</x:v>
      </x:c>
      <x:c r="AL109" s="16" t="n">
        <x:f>IF(M109="Three Phase",U109/3,IF(N109="Y",U109,0))</x:f>
        <x:v>-4.300495000000001</x:v>
      </x:c>
      <x:c r="AM109" s="16" t="n">
        <x:f>IF(M109="Three Phase",V109/3,IF(N109="Y",V109,0))</x:f>
        <x:v>0.6189914559524147</x:v>
      </x:c>
      <x:c r="AN109" s="16" t="n">
        <x:f>IF(M109="Three Phase",U109/3,IF(N109="B",U109,0))</x:f>
        <x:v>-4.300495000000001</x:v>
      </x:c>
      <x:c r="AO109" s="16" t="n">
        <x:f>IF(M109="Three Phase",V109/3,IF(N109="B",V109,0))</x:f>
        <x:v>0.6189914559524147</x:v>
      </x:c>
    </x:row>
    <x:row r="110">
      <x:c r="A110" s="13" t="str">
        <x:v>C0109</x:v>
      </x:c>
      <x:c r="B110" s="13" t="str">
        <x:v>DT-7</x:v>
      </x:c>
      <x:c r="C110" s="13" t="str">
        <x:v>Residential</x:v>
      </x:c>
      <x:c r="D110" s="16" t="n">
        <x:v>7</x:v>
      </x:c>
      <x:c r="E110" s="16" t="n">
        <x:v>0.487</x:v>
      </x:c>
      <x:c r="F110" s="16" t="n">
        <x:f>D110*E110</x:f>
        <x:v>3.409</x:v>
      </x:c>
      <x:c r="G110" s="16" t="n">
        <x:v>0.972</x:v>
      </x:c>
      <x:c r="H110" s="16" t="n">
        <x:f>F110/G110</x:f>
        <x:v>3.507201646090535</x:v>
      </x:c>
      <x:c r="I110" s="16" t="n">
        <x:v>0.911</x:v>
      </x:c>
      <x:c r="J110" s="16" t="n">
        <x:f>F110*I110</x:f>
        <x:v>3.1055989999999998</x:v>
      </x:c>
      <x:c r="K110" s="16" t="n">
        <x:f>J110*TAN(ACOS(G110))</x:f>
        <x:v>0.7507780798969899</x:v>
      </x:c>
      <x:c r="L110" s="16" t="n">
        <x:f>SQRT(J110^2+K110^2)</x:f>
        <x:v>3.195060699588477</x:v>
      </x:c>
      <x:c r="M110" s="16" t="str">
        <x:v>Three Phase</x:v>
      </x:c>
      <x:c r="N110" s="16" t="str">
        <x:v>RYB</x:v>
      </x:c>
      <x:c r="O110" s="16" t="str">
        <x:v>No</x:v>
      </x:c>
      <x:c r="P110" s="16" t="n">
        <x:v>0</x:v>
      </x:c>
      <x:c r="Q110" s="16" t="n">
        <x:v>0.244</x:v>
      </x:c>
      <x:c r="R110" s="16" t="n">
        <x:v>0</x:v>
      </x:c>
      <x:c r="S110" s="16" t="n">
        <x:f>F110*Q110</x:f>
        <x:v>0.831796</x:v>
      </x:c>
      <x:c r="T110" s="16" t="n">
        <x:f>IF(O110="Yes",P110*R110,0)</x:f>
        <x:v>0</x:v>
      </x:c>
      <x:c r="U110" s="16" t="n">
        <x:f>S110-T110</x:f>
        <x:v>0.831796</x:v>
      </x:c>
      <x:c r="V110" s="16" t="n">
        <x:f>S110*TAN(ACOS(G110))</x:f>
        <x:v>0.20108655487910596</x:v>
      </x:c>
      <x:c r="W110" s="16" t="n">
        <x:f>SQRT(U110^2+V110^2)</x:f>
        <x:v>0.8557572016460906</x:v>
      </x:c>
      <x:c r="X110" s="13" t="str">
        <x:v>No</x:v>
      </x:c>
      <x:c r="Y110" s="13" t="str"/>
      <x:c r="Z110" s="18" t="str"/>
      <x:c r="AA110" s="13" t="str"/>
      <x:c r="AB110" s="18" t="str"/>
      <x:c r="AC110" s="13" t="str">
        <x:v>No</x:v>
      </x:c>
      <x:c r="AD110" s="16" t="n">
        <x:f>IF(M110="Three Phase",J110/3,IF(N110="R",J110,0))</x:f>
        <x:v>1.0351996666666665</x:v>
      </x:c>
      <x:c r="AE110" s="16" t="n">
        <x:f>IF(M110="Three Phase",K110/3,IF(N110="R",K110,0))</x:f>
        <x:v>0.2502593599656633</x:v>
      </x:c>
      <x:c r="AF110" s="16" t="n">
        <x:f>IF(M110="Three Phase",J110/3,IF(N110="Y",J110,0))</x:f>
        <x:v>1.0351996666666665</x:v>
      </x:c>
      <x:c r="AG110" s="16" t="n">
        <x:f>IF(M110="Three Phase",K110/3,IF(N110="Y",K110,0))</x:f>
        <x:v>0.2502593599656633</x:v>
      </x:c>
      <x:c r="AH110" s="16" t="n">
        <x:f>IF(M110="Three Phase",J110/3,IF(N110="B",J110,0))</x:f>
        <x:v>1.0351996666666665</x:v>
      </x:c>
      <x:c r="AI110" s="16" t="n">
        <x:f>IF(M110="Three Phase",K110/3,IF(N110="B",K110,0))</x:f>
        <x:v>0.2502593599656633</x:v>
      </x:c>
      <x:c r="AJ110" s="16" t="n">
        <x:f>IF(M110="Three Phase",U110/3,IF(N110="R",U110,0))</x:f>
        <x:v>0.2772653333333333</x:v>
      </x:c>
      <x:c r="AK110" s="16" t="n">
        <x:f>IF(M110="Three Phase",V110/3,IF(N110="R",V110,0))</x:f>
        <x:v>0.06702885162636865</x:v>
      </x:c>
      <x:c r="AL110" s="16" t="n">
        <x:f>IF(M110="Three Phase",U110/3,IF(N110="Y",U110,0))</x:f>
        <x:v>0.2772653333333333</x:v>
      </x:c>
      <x:c r="AM110" s="16" t="n">
        <x:f>IF(M110="Three Phase",V110/3,IF(N110="Y",V110,0))</x:f>
        <x:v>0.06702885162636865</x:v>
      </x:c>
      <x:c r="AN110" s="16" t="n">
        <x:f>IF(M110="Three Phase",U110/3,IF(N110="B",U110,0))</x:f>
        <x:v>0.2772653333333333</x:v>
      </x:c>
      <x:c r="AO110" s="16" t="n">
        <x:f>IF(M110="Three Phase",V110/3,IF(N110="B",V110,0))</x:f>
        <x:v>0.06702885162636865</x:v>
      </x:c>
    </x:row>
    <x:row r="111">
      <x:c r="A111" s="13" t="str">
        <x:v>C0110</x:v>
      </x:c>
      <x:c r="B111" s="13" t="str">
        <x:v>DT-7</x:v>
      </x:c>
      <x:c r="C111" s="13" t="str">
        <x:v>Residential</x:v>
      </x:c>
      <x:c r="D111" s="16" t="n">
        <x:v>5.5</x:v>
      </x:c>
      <x:c r="E111" s="16" t="n">
        <x:v>0.732</x:v>
      </x:c>
      <x:c r="F111" s="16" t="n">
        <x:f>D111*E111</x:f>
        <x:v>4.026</x:v>
      </x:c>
      <x:c r="G111" s="16" t="n">
        <x:v>0.985</x:v>
      </x:c>
      <x:c r="H111" s="16" t="n">
        <x:f>F111/G111</x:f>
        <x:v>4.087309644670051</x:v>
      </x:c>
      <x:c r="I111" s="16" t="n">
        <x:v>0.909</x:v>
      </x:c>
      <x:c r="J111" s="16" t="n">
        <x:f>F111*I111</x:f>
        <x:v>3.659634</x:v>
      </x:c>
      <x:c r="K111" s="16" t="n">
        <x:f>J111*TAN(ACOS(G111))</x:f>
        <x:v>0.6411022607415402</x:v>
      </x:c>
      <x:c r="L111" s="16" t="n">
        <x:f>SQRT(J111^2+K111^2)</x:f>
        <x:v>3.715364467005076</x:v>
      </x:c>
      <x:c r="M111" s="16" t="str">
        <x:v>Single Phase</x:v>
      </x:c>
      <x:c r="N111" s="16" t="str">
        <x:v>R</x:v>
      </x:c>
      <x:c r="O111" s="16" t="str">
        <x:v>No</x:v>
      </x:c>
      <x:c r="P111" s="16" t="n">
        <x:v>0</x:v>
      </x:c>
      <x:c r="Q111" s="16" t="n">
        <x:v>0.39</x:v>
      </x:c>
      <x:c r="R111" s="16" t="n">
        <x:v>0</x:v>
      </x:c>
      <x:c r="S111" s="16" t="n">
        <x:f>F111*Q111</x:f>
        <x:v>1.5701399999999999</x:v>
      </x:c>
      <x:c r="T111" s="16" t="n">
        <x:f>IF(O111="Yes",P111*R111,0)</x:f>
        <x:v>0</x:v>
      </x:c>
      <x:c r="U111" s="16" t="n">
        <x:f>S111-T111</x:f>
        <x:v>1.5701399999999999</x:v>
      </x:c>
      <x:c r="V111" s="16" t="n">
        <x:f>S111*TAN(ACOS(G111))</x:f>
        <x:v>0.2750603758957103</x:v>
      </x:c>
      <x:c r="W111" s="16" t="n">
        <x:f>SQRT(U111^2+V111^2)</x:f>
        <x:v>1.5940507614213197</x:v>
      </x:c>
      <x:c r="X111" s="13" t="str">
        <x:v>No</x:v>
      </x:c>
      <x:c r="Y111" s="13" t="str"/>
      <x:c r="Z111" s="18" t="str"/>
      <x:c r="AA111" s="13" t="str"/>
      <x:c r="AB111" s="18" t="str"/>
      <x:c r="AC111" s="13" t="str">
        <x:v>Yes</x:v>
      </x:c>
      <x:c r="AD111" s="16" t="n">
        <x:f>IF(M111="Three Phase",J111/3,IF(N111="R",J111,0))</x:f>
        <x:v>3.659634</x:v>
      </x:c>
      <x:c r="AE111" s="16" t="n">
        <x:f>IF(M111="Three Phase",K111/3,IF(N111="R",K111,0))</x:f>
        <x:v>0.6411022607415402</x:v>
      </x:c>
      <x:c r="AF111" s="16" t="n">
        <x:f>IF(M111="Three Phase",J111/3,IF(N111="Y",J111,0))</x:f>
        <x:v>0</x:v>
      </x:c>
      <x:c r="AG111" s="16" t="n">
        <x:f>IF(M111="Three Phase",K111/3,IF(N111="Y",K111,0))</x:f>
        <x:v>0</x:v>
      </x:c>
      <x:c r="AH111" s="16" t="n">
        <x:f>IF(M111="Three Phase",J111/3,IF(N111="B",J111,0))</x:f>
        <x:v>0</x:v>
      </x:c>
      <x:c r="AI111" s="16" t="n">
        <x:f>IF(M111="Three Phase",K111/3,IF(N111="B",K111,0))</x:f>
        <x:v>0</x:v>
      </x:c>
      <x:c r="AJ111" s="16" t="n">
        <x:f>IF(M111="Three Phase",U111/3,IF(N111="R",U111,0))</x:f>
        <x:v>1.5701399999999999</x:v>
      </x:c>
      <x:c r="AK111" s="16" t="n">
        <x:f>IF(M111="Three Phase",V111/3,IF(N111="R",V111,0))</x:f>
        <x:v>0.2750603758957103</x:v>
      </x:c>
      <x:c r="AL111" s="16" t="n">
        <x:f>IF(M111="Three Phase",U111/3,IF(N111="Y",U111,0))</x:f>
        <x:v>0</x:v>
      </x:c>
      <x:c r="AM111" s="16" t="n">
        <x:f>IF(M111="Three Phase",V111/3,IF(N111="Y",V111,0))</x:f>
        <x:v>0</x:v>
      </x:c>
      <x:c r="AN111" s="16" t="n">
        <x:f>IF(M111="Three Phase",U111/3,IF(N111="B",U111,0))</x:f>
        <x:v>0</x:v>
      </x:c>
      <x:c r="AO111" s="16" t="n">
        <x:f>IF(M111="Three Phase",V111/3,IF(N111="B",V111,0))</x:f>
        <x:v>0</x:v>
      </x:c>
    </x:row>
    <x:row r="112">
      <x:c r="A112" s="13" t="str">
        <x:v>C0111</x:v>
      </x:c>
      <x:c r="B112" s="13" t="str">
        <x:v>DT-7</x:v>
      </x:c>
      <x:c r="C112" s="13" t="str">
        <x:v>Residential</x:v>
      </x:c>
      <x:c r="D112" s="16" t="n">
        <x:v>2</x:v>
      </x:c>
      <x:c r="E112" s="16" t="n">
        <x:v>0.668</x:v>
      </x:c>
      <x:c r="F112" s="16" t="n">
        <x:f>D112*E112</x:f>
        <x:v>1.336</x:v>
      </x:c>
      <x:c r="G112" s="16" t="n">
        <x:v>0.96</x:v>
      </x:c>
      <x:c r="H112" s="16" t="n">
        <x:f>F112/G112</x:f>
        <x:v>1.3916666666666668</x:v>
      </x:c>
      <x:c r="I112" s="16" t="n">
        <x:v>0.984</x:v>
      </x:c>
      <x:c r="J112" s="16" t="n">
        <x:f>F112*I112</x:f>
        <x:v>1.314624</x:v>
      </x:c>
      <x:c r="K112" s="16" t="n">
        <x:f>J112*TAN(ACOS(G112))</x:f>
        <x:v>0.38343200000000016</x:v>
      </x:c>
      <x:c r="L112" s="16" t="n">
        <x:f>SQRT(J112^2+K112^2)</x:f>
        <x:v>1.3694000000000002</x:v>
      </x:c>
      <x:c r="M112" s="16" t="str">
        <x:v>Single Phase</x:v>
      </x:c>
      <x:c r="N112" s="16" t="str">
        <x:v>R</x:v>
      </x:c>
      <x:c r="O112" s="16" t="str">
        <x:v>Yes</x:v>
      </x:c>
      <x:c r="P112" s="16" t="n">
        <x:v>3</x:v>
      </x:c>
      <x:c r="Q112" s="16" t="n">
        <x:v>0.279</x:v>
      </x:c>
      <x:c r="R112" s="16" t="n">
        <x:v>0.919</x:v>
      </x:c>
      <x:c r="S112" s="16" t="n">
        <x:f>F112*Q112</x:f>
        <x:v>0.3727440000000001</x:v>
      </x:c>
      <x:c r="T112" s="16" t="n">
        <x:f>IF(O112="Yes",P112*R112,0)</x:f>
        <x:v>2.757</x:v>
      </x:c>
      <x:c r="U112" s="16" t="n">
        <x:f>S112-T112</x:f>
        <x:v>-2.384256</x:v>
      </x:c>
      <x:c r="V112" s="16" t="n">
        <x:f>S112*TAN(ACOS(G112))</x:f>
        <x:v>0.10871700000000006</x:v>
      </x:c>
      <x:c r="W112" s="16" t="n">
        <x:f>SQRT(U112^2+V112^2)</x:f>
        <x:v>2.386733344893183</x:v>
      </x:c>
      <x:c r="X112" s="13" t="str">
        <x:v>Yes</x:v>
      </x:c>
      <x:c r="Y112" s="13" t="str">
        <x:v>DT-5</x:v>
      </x:c>
      <x:c r="Z112" s="18" t="n">
        <x:v>95</x:v>
      </x:c>
      <x:c r="AA112" s="13" t="str"/>
      <x:c r="AB112" s="18" t="str"/>
      <x:c r="AC112" s="13" t="str">
        <x:v>Yes</x:v>
      </x:c>
      <x:c r="AD112" s="16" t="n">
        <x:f>IF(M112="Three Phase",J112/3,IF(N112="R",J112,0))</x:f>
        <x:v>1.314624</x:v>
      </x:c>
      <x:c r="AE112" s="16" t="n">
        <x:f>IF(M112="Three Phase",K112/3,IF(N112="R",K112,0))</x:f>
        <x:v>0.38343200000000016</x:v>
      </x:c>
      <x:c r="AF112" s="16" t="n">
        <x:f>IF(M112="Three Phase",J112/3,IF(N112="Y",J112,0))</x:f>
        <x:v>0</x:v>
      </x:c>
      <x:c r="AG112" s="16" t="n">
        <x:f>IF(M112="Three Phase",K112/3,IF(N112="Y",K112,0))</x:f>
        <x:v>0</x:v>
      </x:c>
      <x:c r="AH112" s="16" t="n">
        <x:f>IF(M112="Three Phase",J112/3,IF(N112="B",J112,0))</x:f>
        <x:v>0</x:v>
      </x:c>
      <x:c r="AI112" s="16" t="n">
        <x:f>IF(M112="Three Phase",K112/3,IF(N112="B",K112,0))</x:f>
        <x:v>0</x:v>
      </x:c>
      <x:c r="AJ112" s="16" t="n">
        <x:f>IF(M112="Three Phase",U112/3,IF(N112="R",U112,0))</x:f>
        <x:v>-2.384256</x:v>
      </x:c>
      <x:c r="AK112" s="16" t="n">
        <x:f>IF(M112="Three Phase",V112/3,IF(N112="R",V112,0))</x:f>
        <x:v>0.10871700000000006</x:v>
      </x:c>
      <x:c r="AL112" s="16" t="n">
        <x:f>IF(M112="Three Phase",U112/3,IF(N112="Y",U112,0))</x:f>
        <x:v>0</x:v>
      </x:c>
      <x:c r="AM112" s="16" t="n">
        <x:f>IF(M112="Three Phase",V112/3,IF(N112="Y",V112,0))</x:f>
        <x:v>0</x:v>
      </x:c>
      <x:c r="AN112" s="16" t="n">
        <x:f>IF(M112="Three Phase",U112/3,IF(N112="B",U112,0))</x:f>
        <x:v>0</x:v>
      </x:c>
      <x:c r="AO112" s="16" t="n">
        <x:f>IF(M112="Three Phase",V112/3,IF(N112="B",V112,0))</x:f>
        <x:v>0</x:v>
      </x:c>
    </x:row>
    <x:row r="113">
      <x:c r="A113" s="13" t="str">
        <x:v>C0112</x:v>
      </x:c>
      <x:c r="B113" s="13" t="str">
        <x:v>DT-7</x:v>
      </x:c>
      <x:c r="C113" s="13" t="str">
        <x:v>Residential</x:v>
      </x:c>
      <x:c r="D113" s="16" t="n">
        <x:v>3</x:v>
      </x:c>
      <x:c r="E113" s="16" t="n">
        <x:v>0.63</x:v>
      </x:c>
      <x:c r="F113" s="16" t="n">
        <x:f>D113*E113</x:f>
        <x:v>1.8900000000000001</x:v>
      </x:c>
      <x:c r="G113" s="16" t="n">
        <x:v>0.959</x:v>
      </x:c>
      <x:c r="H113" s="16" t="n">
        <x:f>F113/G113</x:f>
        <x:v>1.9708029197080295</x:v>
      </x:c>
      <x:c r="I113" s="16" t="n">
        <x:v>0.811</x:v>
      </x:c>
      <x:c r="J113" s="16" t="n">
        <x:f>F113*I113</x:f>
        <x:v>1.53279</x:v>
      </x:c>
      <x:c r="K113" s="16" t="n">
        <x:f>J113*TAN(ACOS(G113))</x:f>
        <x:v>0.4529739193414494</x:v>
      </x:c>
      <x:c r="L113" s="16" t="n">
        <x:f>SQRT(J113^2+K113^2)</x:f>
        <x:v>1.5983211678832119</x:v>
      </x:c>
      <x:c r="M113" s="16" t="str">
        <x:v>Single Phase</x:v>
      </x:c>
      <x:c r="N113" s="16" t="str">
        <x:v>R</x:v>
      </x:c>
      <x:c r="O113" s="16" t="str">
        <x:v>No</x:v>
      </x:c>
      <x:c r="P113" s="16" t="n">
        <x:v>0</x:v>
      </x:c>
      <x:c r="Q113" s="16" t="n">
        <x:v>0.201</x:v>
      </x:c>
      <x:c r="R113" s="16" t="n">
        <x:v>0</x:v>
      </x:c>
      <x:c r="S113" s="16" t="n">
        <x:f>F113*Q113</x:f>
        <x:v>0.37989000000000006</x:v>
      </x:c>
      <x:c r="T113" s="16" t="n">
        <x:f>IF(O113="Yes",P113*R113,0)</x:f>
        <x:v>0</x:v>
      </x:c>
      <x:c r="U113" s="16" t="n">
        <x:f>S113-T113</x:f>
        <x:v>0.37989000000000006</x:v>
      </x:c>
      <x:c r="V113" s="16" t="n">
        <x:f>S113*TAN(ACOS(G113))</x:f>
        <x:v>0.11226603919559969</x:v>
      </x:c>
      <x:c r="W113" s="16" t="n">
        <x:f>SQRT(U113^2+V113^2)</x:f>
        <x:v>0.39613138686131394</x:v>
      </x:c>
      <x:c r="X113" s="13" t="str">
        <x:v>Yes</x:v>
      </x:c>
      <x:c r="Y113" s="13" t="str">
        <x:v>DT-5</x:v>
      </x:c>
      <x:c r="Z113" s="18" t="n">
        <x:v>92</x:v>
      </x:c>
      <x:c r="AA113" s="13" t="str">
        <x:v>DT-8</x:v>
      </x:c>
      <x:c r="AB113" s="18" t="n">
        <x:v>85</x:v>
      </x:c>
      <x:c r="AC113" s="13" t="str">
        <x:v>Yes</x:v>
      </x:c>
      <x:c r="AD113" s="16" t="n">
        <x:f>IF(M113="Three Phase",J113/3,IF(N113="R",J113,0))</x:f>
        <x:v>1.53279</x:v>
      </x:c>
      <x:c r="AE113" s="16" t="n">
        <x:f>IF(M113="Three Phase",K113/3,IF(N113="R",K113,0))</x:f>
        <x:v>0.4529739193414494</x:v>
      </x:c>
      <x:c r="AF113" s="16" t="n">
        <x:f>IF(M113="Three Phase",J113/3,IF(N113="Y",J113,0))</x:f>
        <x:v>0</x:v>
      </x:c>
      <x:c r="AG113" s="16" t="n">
        <x:f>IF(M113="Three Phase",K113/3,IF(N113="Y",K113,0))</x:f>
        <x:v>0</x:v>
      </x:c>
      <x:c r="AH113" s="16" t="n">
        <x:f>IF(M113="Three Phase",J113/3,IF(N113="B",J113,0))</x:f>
        <x:v>0</x:v>
      </x:c>
      <x:c r="AI113" s="16" t="n">
        <x:f>IF(M113="Three Phase",K113/3,IF(N113="B",K113,0))</x:f>
        <x:v>0</x:v>
      </x:c>
      <x:c r="AJ113" s="16" t="n">
        <x:f>IF(M113="Three Phase",U113/3,IF(N113="R",U113,0))</x:f>
        <x:v>0.37989000000000006</x:v>
      </x:c>
      <x:c r="AK113" s="16" t="n">
        <x:f>IF(M113="Three Phase",V113/3,IF(N113="R",V113,0))</x:f>
        <x:v>0.11226603919559969</x:v>
      </x:c>
      <x:c r="AL113" s="16" t="n">
        <x:f>IF(M113="Three Phase",U113/3,IF(N113="Y",U113,0))</x:f>
        <x:v>0</x:v>
      </x:c>
      <x:c r="AM113" s="16" t="n">
        <x:f>IF(M113="Three Phase",V113/3,IF(N113="Y",V113,0))</x:f>
        <x:v>0</x:v>
      </x:c>
      <x:c r="AN113" s="16" t="n">
        <x:f>IF(M113="Three Phase",U113/3,IF(N113="B",U113,0))</x:f>
        <x:v>0</x:v>
      </x:c>
      <x:c r="AO113" s="16" t="n">
        <x:f>IF(M113="Three Phase",V113/3,IF(N113="B",V113,0))</x:f>
        <x:v>0</x:v>
      </x:c>
    </x:row>
    <x:row r="114">
      <x:c r="A114" s="13" t="str">
        <x:v>C0113</x:v>
      </x:c>
      <x:c r="B114" s="13" t="str">
        <x:v>DT-7</x:v>
      </x:c>
      <x:c r="C114" s="13" t="str">
        <x:v>Industrial</x:v>
      </x:c>
      <x:c r="D114" s="16" t="n">
        <x:v>19.5</x:v>
      </x:c>
      <x:c r="E114" s="16" t="n">
        <x:v>0.703</x:v>
      </x:c>
      <x:c r="F114" s="16" t="n">
        <x:f>D114*E114</x:f>
        <x:v>13.708499999999999</x:v>
      </x:c>
      <x:c r="G114" s="16" t="n">
        <x:v>0.916</x:v>
      </x:c>
      <x:c r="H114" s="16" t="n">
        <x:f>F114/G114</x:f>
        <x:v>14.965611353711788</x:v>
      </x:c>
      <x:c r="I114" s="16" t="n">
        <x:v>0.766</x:v>
      </x:c>
      <x:c r="J114" s="16" t="n">
        <x:f>F114*I114</x:f>
        <x:v>10.500710999999999</x:v>
      </x:c>
      <x:c r="K114" s="16" t="n">
        <x:f>J114*TAN(ACOS(G114))</x:f>
        <x:v>4.598970541714132</x:v>
      </x:c>
      <x:c r="L114" s="16" t="n">
        <x:f>SQRT(J114^2+K114^2)</x:f>
        <x:v>11.46365829694323</x:v>
      </x:c>
      <x:c r="M114" s="16" t="str">
        <x:v>Three Phase</x:v>
      </x:c>
      <x:c r="N114" s="16" t="str">
        <x:v>RYB</x:v>
      </x:c>
      <x:c r="O114" s="16" t="str">
        <x:v>No</x:v>
      </x:c>
      <x:c r="P114" s="16" t="n">
        <x:v>0</x:v>
      </x:c>
      <x:c r="Q114" s="16" t="n">
        <x:v>0.673</x:v>
      </x:c>
      <x:c r="R114" s="16" t="n">
        <x:v>0</x:v>
      </x:c>
      <x:c r="S114" s="16" t="n">
        <x:f>F114*Q114</x:f>
        <x:v>9.2258205</x:v>
      </x:c>
      <x:c r="T114" s="16" t="n">
        <x:f>IF(O114="Yes",P114*R114,0)</x:f>
        <x:v>0</x:v>
      </x:c>
      <x:c r="U114" s="16" t="n">
        <x:f>S114-T114</x:f>
        <x:v>9.2258205</x:v>
      </x:c>
      <x:c r="V114" s="16" t="n">
        <x:f>S114*TAN(ACOS(G114))</x:f>
        <x:v>4.040609888477299</x:v>
      </x:c>
      <x:c r="W114" s="16" t="n">
        <x:f>SQRT(U114^2+V114^2)</x:f>
        <x:v>10.071856441048034</x:v>
      </x:c>
      <x:c r="X114" s="13" t="str">
        <x:v>No</x:v>
      </x:c>
      <x:c r="Y114" s="13" t="str"/>
      <x:c r="Z114" s="18" t="str"/>
      <x:c r="AA114" s="13" t="str"/>
      <x:c r="AB114" s="18" t="str"/>
      <x:c r="AC114" s="13" t="str">
        <x:v>No</x:v>
      </x:c>
      <x:c r="AD114" s="16" t="n">
        <x:f>IF(M114="Three Phase",J114/3,IF(N114="R",J114,0))</x:f>
        <x:v>3.500237</x:v>
      </x:c>
      <x:c r="AE114" s="16" t="n">
        <x:f>IF(M114="Three Phase",K114/3,IF(N114="R",K114,0))</x:f>
        <x:v>1.5329901805713773</x:v>
      </x:c>
      <x:c r="AF114" s="16" t="n">
        <x:f>IF(M114="Three Phase",J114/3,IF(N114="Y",J114,0))</x:f>
        <x:v>3.500237</x:v>
      </x:c>
      <x:c r="AG114" s="16" t="n">
        <x:f>IF(M114="Three Phase",K114/3,IF(N114="Y",K114,0))</x:f>
        <x:v>1.5329901805713773</x:v>
      </x:c>
      <x:c r="AH114" s="16" t="n">
        <x:f>IF(M114="Three Phase",J114/3,IF(N114="B",J114,0))</x:f>
        <x:v>3.500237</x:v>
      </x:c>
      <x:c r="AI114" s="16" t="n">
        <x:f>IF(M114="Three Phase",K114/3,IF(N114="B",K114,0))</x:f>
        <x:v>1.5329901805713773</x:v>
      </x:c>
      <x:c r="AJ114" s="16" t="n">
        <x:f>IF(M114="Three Phase",U114/3,IF(N114="R",U114,0))</x:f>
        <x:v>3.0752734999999998</x:v>
      </x:c>
      <x:c r="AK114" s="16" t="n">
        <x:f>IF(M114="Three Phase",V114/3,IF(N114="R",V114,0))</x:f>
        <x:v>1.3468699628257663</x:v>
      </x:c>
      <x:c r="AL114" s="16" t="n">
        <x:f>IF(M114="Three Phase",U114/3,IF(N114="Y",U114,0))</x:f>
        <x:v>3.0752734999999998</x:v>
      </x:c>
      <x:c r="AM114" s="16" t="n">
        <x:f>IF(M114="Three Phase",V114/3,IF(N114="Y",V114,0))</x:f>
        <x:v>1.3468699628257663</x:v>
      </x:c>
      <x:c r="AN114" s="16" t="n">
        <x:f>IF(M114="Three Phase",U114/3,IF(N114="B",U114,0))</x:f>
        <x:v>3.0752734999999998</x:v>
      </x:c>
      <x:c r="AO114" s="16" t="n">
        <x:f>IF(M114="Three Phase",V114/3,IF(N114="B",V114,0))</x:f>
        <x:v>1.3468699628257663</x:v>
      </x:c>
    </x:row>
    <x:row r="115">
      <x:c r="A115" s="13" t="str">
        <x:v>C0114</x:v>
      </x:c>
      <x:c r="B115" s="13" t="str">
        <x:v>DT-7</x:v>
      </x:c>
      <x:c r="C115" s="13" t="str">
        <x:v>Residential</x:v>
      </x:c>
      <x:c r="D115" s="16" t="n">
        <x:v>6.5</x:v>
      </x:c>
      <x:c r="E115" s="16" t="n">
        <x:v>0.442</x:v>
      </x:c>
      <x:c r="F115" s="16" t="n">
        <x:f>D115*E115</x:f>
        <x:v>2.873</x:v>
      </x:c>
      <x:c r="G115" s="16" t="n">
        <x:v>0.943</x:v>
      </x:c>
      <x:c r="H115" s="16" t="n">
        <x:f>F115/G115</x:f>
        <x:v>3.0466595970307533</x:v>
      </x:c>
      <x:c r="I115" s="16" t="n">
        <x:v>0.718</x:v>
      </x:c>
      <x:c r="J115" s="16" t="n">
        <x:f>F115*I115</x:f>
        <x:v>2.062814</x:v>
      </x:c>
      <x:c r="K115" s="16" t="n">
        <x:f>J115*TAN(ACOS(G115))</x:f>
        <x:v>0.727984622488266</x:v>
      </x:c>
      <x:c r="L115" s="16" t="n">
        <x:f>SQRT(J115^2+K115^2)</x:f>
        <x:v>2.187501590668081</x:v>
      </x:c>
      <x:c r="M115" s="16" t="str">
        <x:v>Three Phase</x:v>
      </x:c>
      <x:c r="N115" s="16" t="str">
        <x:v>RYB</x:v>
      </x:c>
      <x:c r="O115" s="16" t="str">
        <x:v>Yes</x:v>
      </x:c>
      <x:c r="P115" s="16" t="n">
        <x:v>1.5</x:v>
      </x:c>
      <x:c r="Q115" s="16" t="n">
        <x:v>0.49</x:v>
      </x:c>
      <x:c r="R115" s="16" t="n">
        <x:v>0.785</x:v>
      </x:c>
      <x:c r="S115" s="16" t="n">
        <x:f>F115*Q115</x:f>
        <x:v>1.4077700000000002</x:v>
      </x:c>
      <x:c r="T115" s="16" t="n">
        <x:f>IF(O115="Yes",P115*R115,0)</x:f>
        <x:v>1.1775</x:v>
      </x:c>
      <x:c r="U115" s="16" t="n">
        <x:f>S115-T115</x:f>
        <x:v>0.2302700000000002</x:v>
      </x:c>
      <x:c r="V115" s="16" t="n">
        <x:f>S115*TAN(ACOS(G115))</x:f>
        <x:v>0.49681401813266074</x:v>
      </x:c>
      <x:c r="W115" s="16" t="n">
        <x:f>SQRT(U115^2+V115^2)</x:f>
        <x:v>0.5475841866901562</x:v>
      </x:c>
      <x:c r="X115" s="13" t="str">
        <x:v>Yes</x:v>
      </x:c>
      <x:c r="Y115" s="13" t="str">
        <x:v>DT-5</x:v>
      </x:c>
      <x:c r="Z115" s="18" t="n">
        <x:v>110</x:v>
      </x:c>
      <x:c r="AA115" s="13" t="str"/>
      <x:c r="AB115" s="18" t="str"/>
      <x:c r="AC115" s="13" t="str">
        <x:v>No</x:v>
      </x:c>
      <x:c r="AD115" s="16" t="n">
        <x:f>IF(M115="Three Phase",J115/3,IF(N115="R",J115,0))</x:f>
        <x:v>0.6876046666666666</x:v>
      </x:c>
      <x:c r="AE115" s="16" t="n">
        <x:f>IF(M115="Three Phase",K115/3,IF(N115="R",K115,0))</x:f>
        <x:v>0.242661540829422</x:v>
      </x:c>
      <x:c r="AF115" s="16" t="n">
        <x:f>IF(M115="Three Phase",J115/3,IF(N115="Y",J115,0))</x:f>
        <x:v>0.6876046666666666</x:v>
      </x:c>
      <x:c r="AG115" s="16" t="n">
        <x:f>IF(M115="Three Phase",K115/3,IF(N115="Y",K115,0))</x:f>
        <x:v>0.242661540829422</x:v>
      </x:c>
      <x:c r="AH115" s="16" t="n">
        <x:f>IF(M115="Three Phase",J115/3,IF(N115="B",J115,0))</x:f>
        <x:v>0.6876046666666666</x:v>
      </x:c>
      <x:c r="AI115" s="16" t="n">
        <x:f>IF(M115="Three Phase",K115/3,IF(N115="B",K115,0))</x:f>
        <x:v>0.242661540829422</x:v>
      </x:c>
      <x:c r="AJ115" s="16" t="n">
        <x:f>IF(M115="Three Phase",U115/3,IF(N115="R",U115,0))</x:f>
        <x:v>0.07675666666666674</x:v>
      </x:c>
      <x:c r="AK115" s="16" t="n">
        <x:f>IF(M115="Three Phase",V115/3,IF(N115="R",V115,0))</x:f>
        <x:v>0.1656046727108869</x:v>
      </x:c>
      <x:c r="AL115" s="16" t="n">
        <x:f>IF(M115="Three Phase",U115/3,IF(N115="Y",U115,0))</x:f>
        <x:v>0.07675666666666674</x:v>
      </x:c>
      <x:c r="AM115" s="16" t="n">
        <x:f>IF(M115="Three Phase",V115/3,IF(N115="Y",V115,0))</x:f>
        <x:v>0.1656046727108869</x:v>
      </x:c>
      <x:c r="AN115" s="16" t="n">
        <x:f>IF(M115="Three Phase",U115/3,IF(N115="B",U115,0))</x:f>
        <x:v>0.07675666666666674</x:v>
      </x:c>
      <x:c r="AO115" s="16" t="n">
        <x:f>IF(M115="Three Phase",V115/3,IF(N115="B",V115,0))</x:f>
        <x:v>0.1656046727108869</x:v>
      </x:c>
    </x:row>
    <x:row r="116">
      <x:c r="A116" s="13" t="str">
        <x:v>C0115</x:v>
      </x:c>
      <x:c r="B116" s="13" t="str">
        <x:v>DT-7</x:v>
      </x:c>
      <x:c r="C116" s="13" t="str">
        <x:v>Residential</x:v>
      </x:c>
      <x:c r="D116" s="16" t="n">
        <x:v>5.5</x:v>
      </x:c>
      <x:c r="E116" s="16" t="n">
        <x:v>0.688</x:v>
      </x:c>
      <x:c r="F116" s="16" t="n">
        <x:f>D116*E116</x:f>
        <x:v>3.784</x:v>
      </x:c>
      <x:c r="G116" s="16" t="n">
        <x:v>0.914</x:v>
      </x:c>
      <x:c r="H116" s="16" t="n">
        <x:f>F116/G116</x:f>
        <x:v>4.1400437636761485</x:v>
      </x:c>
      <x:c r="I116" s="16" t="n">
        <x:v>0.969</x:v>
      </x:c>
      <x:c r="J116" s="16" t="n">
        <x:f>F116*I116</x:f>
        <x:v>3.6666959999999995</x:v>
      </x:c>
      <x:c r="K116" s="16" t="n">
        <x:f>J116*TAN(ACOS(G116))</x:f>
        <x:v>1.6276045729633313</x:v>
      </x:c>
      <x:c r="L116" s="16" t="n">
        <x:f>SQRT(J116^2+K116^2)</x:f>
        <x:v>4.011702407002187</x:v>
      </x:c>
      <x:c r="M116" s="16" t="str">
        <x:v>Single Phase</x:v>
      </x:c>
      <x:c r="N116" s="16" t="str">
        <x:v>R</x:v>
      </x:c>
      <x:c r="O116" s="16" t="str">
        <x:v>No</x:v>
      </x:c>
      <x:c r="P116" s="16" t="n">
        <x:v>0</x:v>
      </x:c>
      <x:c r="Q116" s="16" t="n">
        <x:v>0.368</x:v>
      </x:c>
      <x:c r="R116" s="16" t="n">
        <x:v>0</x:v>
      </x:c>
      <x:c r="S116" s="16" t="n">
        <x:f>F116*Q116</x:f>
        <x:v>1.392512</x:v>
      </x:c>
      <x:c r="T116" s="16" t="n">
        <x:f>IF(O116="Yes",P116*R116,0)</x:f>
        <x:v>0</x:v>
      </x:c>
      <x:c r="U116" s="16" t="n">
        <x:f>S116-T116</x:f>
        <x:v>1.392512</x:v>
      </x:c>
      <x:c r="V116" s="16" t="n">
        <x:f>S116*TAN(ACOS(G116))</x:f>
        <x:v>0.6181202093400475</x:v>
      </x:c>
      <x:c r="W116" s="16" t="n">
        <x:f>SQRT(U116^2+V116^2)</x:f>
        <x:v>1.5235361050328227</x:v>
      </x:c>
      <x:c r="X116" s="13" t="str">
        <x:v>No</x:v>
      </x:c>
      <x:c r="Y116" s="13" t="str"/>
      <x:c r="Z116" s="18" t="str"/>
      <x:c r="AA116" s="13" t="str"/>
      <x:c r="AB116" s="18" t="str"/>
      <x:c r="AC116" s="13" t="str">
        <x:v>No</x:v>
      </x:c>
      <x:c r="AD116" s="16" t="n">
        <x:f>IF(M116="Three Phase",J116/3,IF(N116="R",J116,0))</x:f>
        <x:v>3.6666959999999995</x:v>
      </x:c>
      <x:c r="AE116" s="16" t="n">
        <x:f>IF(M116="Three Phase",K116/3,IF(N116="R",K116,0))</x:f>
        <x:v>1.6276045729633313</x:v>
      </x:c>
      <x:c r="AF116" s="16" t="n">
        <x:f>IF(M116="Three Phase",J116/3,IF(N116="Y",J116,0))</x:f>
        <x:v>0</x:v>
      </x:c>
      <x:c r="AG116" s="16" t="n">
        <x:f>IF(M116="Three Phase",K116/3,IF(N116="Y",K116,0))</x:f>
        <x:v>0</x:v>
      </x:c>
      <x:c r="AH116" s="16" t="n">
        <x:f>IF(M116="Three Phase",J116/3,IF(N116="B",J116,0))</x:f>
        <x:v>0</x:v>
      </x:c>
      <x:c r="AI116" s="16" t="n">
        <x:f>IF(M116="Three Phase",K116/3,IF(N116="B",K116,0))</x:f>
        <x:v>0</x:v>
      </x:c>
      <x:c r="AJ116" s="16" t="n">
        <x:f>IF(M116="Three Phase",U116/3,IF(N116="R",U116,0))</x:f>
        <x:v>1.392512</x:v>
      </x:c>
      <x:c r="AK116" s="16" t="n">
        <x:f>IF(M116="Three Phase",V116/3,IF(N116="R",V116,0))</x:f>
        <x:v>0.6181202093400475</x:v>
      </x:c>
      <x:c r="AL116" s="16" t="n">
        <x:f>IF(M116="Three Phase",U116/3,IF(N116="Y",U116,0))</x:f>
        <x:v>0</x:v>
      </x:c>
      <x:c r="AM116" s="16" t="n">
        <x:f>IF(M116="Three Phase",V116/3,IF(N116="Y",V116,0))</x:f>
        <x:v>0</x:v>
      </x:c>
      <x:c r="AN116" s="16" t="n">
        <x:f>IF(M116="Three Phase",U116/3,IF(N116="B",U116,0))</x:f>
        <x:v>0</x:v>
      </x:c>
      <x:c r="AO116" s="16" t="n">
        <x:f>IF(M116="Three Phase",V116/3,IF(N116="B",V116,0))</x:f>
        <x:v>0</x:v>
      </x:c>
    </x:row>
    <x:row r="117">
      <x:c r="A117" s="13" t="str">
        <x:v>C0116</x:v>
      </x:c>
      <x:c r="B117" s="13" t="str">
        <x:v>DT-7</x:v>
      </x:c>
      <x:c r="C117" s="13" t="str">
        <x:v>Residential</x:v>
      </x:c>
      <x:c r="D117" s="16" t="n">
        <x:v>2.5</x:v>
      </x:c>
      <x:c r="E117" s="16" t="n">
        <x:v>0.661</x:v>
      </x:c>
      <x:c r="F117" s="16" t="n">
        <x:f>D117*E117</x:f>
        <x:v>1.6525</x:v>
      </x:c>
      <x:c r="G117" s="16" t="n">
        <x:v>0.914</x:v>
      </x:c>
      <x:c r="H117" s="16" t="n">
        <x:f>F117/G117</x:f>
        <x:v>1.8079868708971554</x:v>
      </x:c>
      <x:c r="I117" s="16" t="n">
        <x:v>0.85</x:v>
      </x:c>
      <x:c r="J117" s="16" t="n">
        <x:f>F117*I117</x:f>
        <x:v>1.404625</x:v>
      </x:c>
      <x:c r="K117" s="16" t="n">
        <x:f>J117*TAN(ACOS(G117))</x:f>
        <x:v>0.6234970320142765</x:v>
      </x:c>
      <x:c r="L117" s="16" t="n">
        <x:f>SQRT(J117^2+K117^2)</x:f>
        <x:v>1.536788840262582</x:v>
      </x:c>
      <x:c r="M117" s="16" t="str">
        <x:v>Single Phase</x:v>
      </x:c>
      <x:c r="N117" s="16" t="str">
        <x:v>R</x:v>
      </x:c>
      <x:c r="O117" s="16" t="str">
        <x:v>Yes</x:v>
      </x:c>
      <x:c r="P117" s="16" t="n">
        <x:v>5.5</x:v>
      </x:c>
      <x:c r="Q117" s="16" t="n">
        <x:v>0.328</x:v>
      </x:c>
      <x:c r="R117" s="16" t="n">
        <x:v>0.766</x:v>
      </x:c>
      <x:c r="S117" s="16" t="n">
        <x:f>F117*Q117</x:f>
        <x:v>0.5420200000000001</x:v>
      </x:c>
      <x:c r="T117" s="16" t="n">
        <x:f>IF(O117="Yes",P117*R117,0)</x:f>
        <x:v>4.213</x:v>
      </x:c>
      <x:c r="U117" s="16" t="n">
        <x:f>S117-T117</x:f>
        <x:v>-3.67098</x:v>
      </x:c>
      <x:c r="V117" s="16" t="n">
        <x:f>S117*TAN(ACOS(G117))</x:f>
        <x:v>0.2405965017655091</x:v>
      </x:c>
      <x:c r="W117" s="16" t="n">
        <x:f>SQRT(U117^2+V117^2)</x:f>
        <x:v>3.6788559141480115</x:v>
      </x:c>
      <x:c r="X117" s="13" t="str">
        <x:v>Yes</x:v>
      </x:c>
      <x:c r="Y117" s="13" t="str">
        <x:v>DT-5</x:v>
      </x:c>
      <x:c r="Z117" s="18" t="n">
        <x:v>131</x:v>
      </x:c>
      <x:c r="AA117" s="13" t="str"/>
      <x:c r="AB117" s="18" t="str"/>
      <x:c r="AC117" s="13" t="str">
        <x:v>Yes</x:v>
      </x:c>
      <x:c r="AD117" s="16" t="n">
        <x:f>IF(M117="Three Phase",J117/3,IF(N117="R",J117,0))</x:f>
        <x:v>1.404625</x:v>
      </x:c>
      <x:c r="AE117" s="16" t="n">
        <x:f>IF(M117="Three Phase",K117/3,IF(N117="R",K117,0))</x:f>
        <x:v>0.6234970320142765</x:v>
      </x:c>
      <x:c r="AF117" s="16" t="n">
        <x:f>IF(M117="Three Phase",J117/3,IF(N117="Y",J117,0))</x:f>
        <x:v>0</x:v>
      </x:c>
      <x:c r="AG117" s="16" t="n">
        <x:f>IF(M117="Three Phase",K117/3,IF(N117="Y",K117,0))</x:f>
        <x:v>0</x:v>
      </x:c>
      <x:c r="AH117" s="16" t="n">
        <x:f>IF(M117="Three Phase",J117/3,IF(N117="B",J117,0))</x:f>
        <x:v>0</x:v>
      </x:c>
      <x:c r="AI117" s="16" t="n">
        <x:f>IF(M117="Three Phase",K117/3,IF(N117="B",K117,0))</x:f>
        <x:v>0</x:v>
      </x:c>
      <x:c r="AJ117" s="16" t="n">
        <x:f>IF(M117="Three Phase",U117/3,IF(N117="R",U117,0))</x:f>
        <x:v>-3.67098</x:v>
      </x:c>
      <x:c r="AK117" s="16" t="n">
        <x:f>IF(M117="Three Phase",V117/3,IF(N117="R",V117,0))</x:f>
        <x:v>0.2405965017655091</x:v>
      </x:c>
      <x:c r="AL117" s="16" t="n">
        <x:f>IF(M117="Three Phase",U117/3,IF(N117="Y",U117,0))</x:f>
        <x:v>0</x:v>
      </x:c>
      <x:c r="AM117" s="16" t="n">
        <x:f>IF(M117="Three Phase",V117/3,IF(N117="Y",V117,0))</x:f>
        <x:v>0</x:v>
      </x:c>
      <x:c r="AN117" s="16" t="n">
        <x:f>IF(M117="Three Phase",U117/3,IF(N117="B",U117,0))</x:f>
        <x:v>0</x:v>
      </x:c>
      <x:c r="AO117" s="16" t="n">
        <x:f>IF(M117="Three Phase",V117/3,IF(N117="B",V117,0))</x:f>
        <x:v>0</x:v>
      </x:c>
    </x:row>
    <x:row r="118">
      <x:c r="A118" s="13" t="str">
        <x:v>C0117</x:v>
      </x:c>
      <x:c r="B118" s="13" t="str">
        <x:v>DT-7</x:v>
      </x:c>
      <x:c r="C118" s="13" t="str">
        <x:v>Commercial</x:v>
      </x:c>
      <x:c r="D118" s="16" t="n">
        <x:v>10</x:v>
      </x:c>
      <x:c r="E118" s="16" t="n">
        <x:v>0.835</x:v>
      </x:c>
      <x:c r="F118" s="16" t="n">
        <x:f>D118*E118</x:f>
        <x:v>8.35</x:v>
      </x:c>
      <x:c r="G118" s="16" t="n">
        <x:v>0.945</x:v>
      </x:c>
      <x:c r="H118" s="16" t="n">
        <x:f>F118/G118</x:f>
        <x:v>8.835978835978835</x:v>
      </x:c>
      <x:c r="I118" s="16" t="n">
        <x:v>0.781</x:v>
      </x:c>
      <x:c r="J118" s="16" t="n">
        <x:f>F118*I118</x:f>
        <x:v>6.52135</x:v>
      </x:c>
      <x:c r="K118" s="16" t="n">
        <x:f>J118*TAN(ACOS(G118))</x:f>
        <x:v>2.2570794591596908</x:v>
      </x:c>
      <x:c r="L118" s="16" t="n">
        <x:f>SQRT(J118^2+K118^2)</x:f>
        <x:v>6.900899470899471</x:v>
      </x:c>
      <x:c r="M118" s="16" t="str">
        <x:v>Three Phase</x:v>
      </x:c>
      <x:c r="N118" s="16" t="str">
        <x:v>RYB</x:v>
      </x:c>
      <x:c r="O118" s="16" t="str">
        <x:v>Yes</x:v>
      </x:c>
      <x:c r="P118" s="16" t="n">
        <x:v>9</x:v>
      </x:c>
      <x:c r="Q118" s="16" t="n">
        <x:v>0.775</x:v>
      </x:c>
      <x:c r="R118" s="16" t="n">
        <x:v>0.776</x:v>
      </x:c>
      <x:c r="S118" s="16" t="n">
        <x:f>F118*Q118</x:f>
        <x:v>6.4712499999999995</x:v>
      </x:c>
      <x:c r="T118" s="16" t="n">
        <x:f>IF(O118="Yes",P118*R118,0)</x:f>
        <x:v>6.984</x:v>
      </x:c>
      <x:c r="U118" s="16" t="n">
        <x:f>S118-T118</x:f>
        <x:v>-0.5127500000000005</x:v>
      </x:c>
      <x:c r="V118" s="16" t="n">
        <x:f>S118*TAN(ACOS(G118))</x:f>
        <x:v>2.239739540139258</x:v>
      </x:c>
      <x:c r="W118" s="16" t="n">
        <x:f>SQRT(U118^2+V118^2)</x:f>
        <x:v>2.297682695709574</x:v>
      </x:c>
      <x:c r="X118" s="13" t="str">
        <x:v>Yes</x:v>
      </x:c>
      <x:c r="Y118" s="13" t="str">
        <x:v>DT-5</x:v>
      </x:c>
      <x:c r="Z118" s="18" t="n">
        <x:v>44</x:v>
      </x:c>
      <x:c r="AA118" s="13" t="str">
        <x:v>DT-8</x:v>
      </x:c>
      <x:c r="AB118" s="18" t="n">
        <x:v>59</x:v>
      </x:c>
      <x:c r="AC118" s="13" t="str">
        <x:v>No</x:v>
      </x:c>
      <x:c r="AD118" s="16" t="n">
        <x:f>IF(M118="Three Phase",J118/3,IF(N118="R",J118,0))</x:f>
        <x:v>2.173783333333333</x:v>
      </x:c>
      <x:c r="AE118" s="16" t="n">
        <x:f>IF(M118="Three Phase",K118/3,IF(N118="R",K118,0))</x:f>
        <x:v>0.752359819719897</x:v>
      </x:c>
      <x:c r="AF118" s="16" t="n">
        <x:f>IF(M118="Three Phase",J118/3,IF(N118="Y",J118,0))</x:f>
        <x:v>2.173783333333333</x:v>
      </x:c>
      <x:c r="AG118" s="16" t="n">
        <x:f>IF(M118="Three Phase",K118/3,IF(N118="Y",K118,0))</x:f>
        <x:v>0.752359819719897</x:v>
      </x:c>
      <x:c r="AH118" s="16" t="n">
        <x:f>IF(M118="Three Phase",J118/3,IF(N118="B",J118,0))</x:f>
        <x:v>2.173783333333333</x:v>
      </x:c>
      <x:c r="AI118" s="16" t="n">
        <x:f>IF(M118="Three Phase",K118/3,IF(N118="B",K118,0))</x:f>
        <x:v>0.752359819719897</x:v>
      </x:c>
      <x:c r="AJ118" s="16" t="n">
        <x:f>IF(M118="Three Phase",U118/3,IF(N118="R",U118,0))</x:f>
        <x:v>-0.17091666666666683</x:v>
      </x:c>
      <x:c r="AK118" s="16" t="n">
        <x:f>IF(M118="Three Phase",V118/3,IF(N118="R",V118,0))</x:f>
        <x:v>0.746579846713086</x:v>
      </x:c>
      <x:c r="AL118" s="16" t="n">
        <x:f>IF(M118="Three Phase",U118/3,IF(N118="Y",U118,0))</x:f>
        <x:v>-0.17091666666666683</x:v>
      </x:c>
      <x:c r="AM118" s="16" t="n">
        <x:f>IF(M118="Three Phase",V118/3,IF(N118="Y",V118,0))</x:f>
        <x:v>0.746579846713086</x:v>
      </x:c>
      <x:c r="AN118" s="16" t="n">
        <x:f>IF(M118="Three Phase",U118/3,IF(N118="B",U118,0))</x:f>
        <x:v>-0.17091666666666683</x:v>
      </x:c>
      <x:c r="AO118" s="16" t="n">
        <x:f>IF(M118="Three Phase",V118/3,IF(N118="B",V118,0))</x:f>
        <x:v>0.746579846713086</x:v>
      </x:c>
    </x:row>
    <x:row r="119">
      <x:c r="A119" s="13" t="str">
        <x:v>C0118</x:v>
      </x:c>
      <x:c r="B119" s="13" t="str">
        <x:v>DT-7</x:v>
      </x:c>
      <x:c r="C119" s="13" t="str">
        <x:v>Residential</x:v>
      </x:c>
      <x:c r="D119" s="16" t="n">
        <x:v>1.5</x:v>
      </x:c>
      <x:c r="E119" s="16" t="n">
        <x:v>0.743</x:v>
      </x:c>
      <x:c r="F119" s="16" t="n">
        <x:f>D119*E119</x:f>
        <x:v>1.1145</x:v>
      </x:c>
      <x:c r="G119" s="16" t="n">
        <x:v>0.93</x:v>
      </x:c>
      <x:c r="H119" s="16" t="n">
        <x:f>F119/G119</x:f>
        <x:v>1.1983870967741936</x:v>
      </x:c>
      <x:c r="I119" s="16" t="n">
        <x:v>0.797</x:v>
      </x:c>
      <x:c r="J119" s="16" t="n">
        <x:f>F119*I119</x:f>
        <x:v>0.8882565000000001</x:v>
      </x:c>
      <x:c r="K119" s="16" t="n">
        <x:f>J119*TAN(ACOS(G119))</x:f>
        <x:v>0.3510614321285455</x:v>
      </x:c>
      <x:c r="L119" s="16" t="n">
        <x:f>SQRT(J119^2+K119^2)</x:f>
        <x:v>0.9551145161290324</x:v>
      </x:c>
      <x:c r="M119" s="16" t="str">
        <x:v>Single Phase</x:v>
      </x:c>
      <x:c r="N119" s="16" t="str">
        <x:v>Y</x:v>
      </x:c>
      <x:c r="O119" s="16" t="str">
        <x:v>No</x:v>
      </x:c>
      <x:c r="P119" s="16" t="n">
        <x:v>0</x:v>
      </x:c>
      <x:c r="Q119" s="16" t="n">
        <x:v>0.42</x:v>
      </x:c>
      <x:c r="R119" s="16" t="n">
        <x:v>0</x:v>
      </x:c>
      <x:c r="S119" s="16" t="n">
        <x:f>F119*Q119</x:f>
        <x:v>0.46809</x:v>
      </x:c>
      <x:c r="T119" s="16" t="n">
        <x:f>IF(O119="Yes",P119*R119,0)</x:f>
        <x:v>0</x:v>
      </x:c>
      <x:c r="U119" s="16" t="n">
        <x:f>S119-T119</x:f>
        <x:v>0.46809</x:v>
      </x:c>
      <x:c r="V119" s="16" t="n">
        <x:f>S119*TAN(ACOS(G119))</x:f>
        <x:v>0.18500100563863123</x:v>
      </x:c>
      <x:c r="W119" s="16" t="n">
        <x:f>SQRT(U119^2+V119^2)</x:f>
        <x:v>0.5033225806451612</x:v>
      </x:c>
      <x:c r="X119" s="13" t="str">
        <x:v>Yes</x:v>
      </x:c>
      <x:c r="Y119" s="13" t="str">
        <x:v>DT-5</x:v>
      </x:c>
      <x:c r="Z119" s="18" t="n">
        <x:v>128</x:v>
      </x:c>
      <x:c r="AA119" s="13" t="str"/>
      <x:c r="AB119" s="18" t="str"/>
      <x:c r="AC119" s="13" t="str">
        <x:v>Yes</x:v>
      </x:c>
      <x:c r="AD119" s="16" t="n">
        <x:f>IF(M119="Three Phase",J119/3,IF(N119="R",J119,0))</x:f>
        <x:v>0</x:v>
      </x:c>
      <x:c r="AE119" s="16" t="n">
        <x:f>IF(M119="Three Phase",K119/3,IF(N119="R",K119,0))</x:f>
        <x:v>0</x:v>
      </x:c>
      <x:c r="AF119" s="16" t="n">
        <x:f>IF(M119="Three Phase",J119/3,IF(N119="Y",J119,0))</x:f>
        <x:v>0.8882565000000001</x:v>
      </x:c>
      <x:c r="AG119" s="16" t="n">
        <x:f>IF(M119="Three Phase",K119/3,IF(N119="Y",K119,0))</x:f>
        <x:v>0.3510614321285455</x:v>
      </x:c>
      <x:c r="AH119" s="16" t="n">
        <x:f>IF(M119="Three Phase",J119/3,IF(N119="B",J119,0))</x:f>
        <x:v>0</x:v>
      </x:c>
      <x:c r="AI119" s="16" t="n">
        <x:f>IF(M119="Three Phase",K119/3,IF(N119="B",K119,0))</x:f>
        <x:v>0</x:v>
      </x:c>
      <x:c r="AJ119" s="16" t="n">
        <x:f>IF(M119="Three Phase",U119/3,IF(N119="R",U119,0))</x:f>
        <x:v>0</x:v>
      </x:c>
      <x:c r="AK119" s="16" t="n">
        <x:f>IF(M119="Three Phase",V119/3,IF(N119="R",V119,0))</x:f>
        <x:v>0</x:v>
      </x:c>
      <x:c r="AL119" s="16" t="n">
        <x:f>IF(M119="Three Phase",U119/3,IF(N119="Y",U119,0))</x:f>
        <x:v>0.46809</x:v>
      </x:c>
      <x:c r="AM119" s="16" t="n">
        <x:f>IF(M119="Three Phase",V119/3,IF(N119="Y",V119,0))</x:f>
        <x:v>0.18500100563863123</x:v>
      </x:c>
      <x:c r="AN119" s="16" t="n">
        <x:f>IF(M119="Three Phase",U119/3,IF(N119="B",U119,0))</x:f>
        <x:v>0</x:v>
      </x:c>
      <x:c r="AO119" s="16" t="n">
        <x:f>IF(M119="Three Phase",V119/3,IF(N119="B",V119,0))</x:f>
        <x:v>0</x:v>
      </x:c>
    </x:row>
    <x:row r="120">
      <x:c r="A120" s="13" t="str">
        <x:v>C0119</x:v>
      </x:c>
      <x:c r="B120" s="13" t="str">
        <x:v>DT-7</x:v>
      </x:c>
      <x:c r="C120" s="13" t="str">
        <x:v>Industrial</x:v>
      </x:c>
      <x:c r="D120" s="16" t="n">
        <x:v>27</x:v>
      </x:c>
      <x:c r="E120" s="16" t="n">
        <x:v>0.776</x:v>
      </x:c>
      <x:c r="F120" s="16" t="n">
        <x:f>D120*E120</x:f>
        <x:v>20.952</x:v>
      </x:c>
      <x:c r="G120" s="16" t="n">
        <x:v>0.911</x:v>
      </x:c>
      <x:c r="H120" s="16" t="n">
        <x:f>F120/G120</x:f>
        <x:v>22.998902305159167</x:v>
      </x:c>
      <x:c r="I120" s="16" t="n">
        <x:v>0.981</x:v>
      </x:c>
      <x:c r="J120" s="16" t="n">
        <x:f>F120*I120</x:f>
        <x:v>20.553912</x:v>
      </x:c>
      <x:c r="K120" s="16" t="n">
        <x:f>J120*TAN(ACOS(G120))</x:f>
        <x:v>9.304680447786495</x:v>
      </x:c>
      <x:c r="L120" s="16" t="n">
        <x:f>SQRT(J120^2+K120^2)</x:f>
        <x:v>22.56192316136114</x:v>
      </x:c>
      <x:c r="M120" s="16" t="str">
        <x:v>Three Phase</x:v>
      </x:c>
      <x:c r="N120" s="16" t="str">
        <x:v>RYB</x:v>
      </x:c>
      <x:c r="O120" s="16" t="str">
        <x:v>No</x:v>
      </x:c>
      <x:c r="P120" s="16" t="n">
        <x:v>0</x:v>
      </x:c>
      <x:c r="Q120" s="16" t="n">
        <x:v>0.602</x:v>
      </x:c>
      <x:c r="R120" s="16" t="n">
        <x:v>0</x:v>
      </x:c>
      <x:c r="S120" s="16" t="n">
        <x:f>F120*Q120</x:f>
        <x:v>12.613104</x:v>
      </x:c>
      <x:c r="T120" s="16" t="n">
        <x:f>IF(O120="Yes",P120*R120,0)</x:f>
        <x:v>0</x:v>
      </x:c>
      <x:c r="U120" s="16" t="n">
        <x:f>S120-T120</x:f>
        <x:v>12.613104</x:v>
      </x:c>
      <x:c r="V120" s="16" t="n">
        <x:f>S120*TAN(ACOS(G120))</x:f>
        <x:v>5.709905840537686</x:v>
      </x:c>
      <x:c r="W120" s="16" t="n">
        <x:f>SQRT(U120^2+V120^2)</x:f>
        <x:v>13.845339187705816</x:v>
      </x:c>
      <x:c r="X120" s="13" t="str">
        <x:v>No</x:v>
      </x:c>
      <x:c r="Y120" s="13" t="str"/>
      <x:c r="Z120" s="18" t="str"/>
      <x:c r="AA120" s="13" t="str"/>
      <x:c r="AB120" s="18" t="str"/>
      <x:c r="AC120" s="13" t="str">
        <x:v>No</x:v>
      </x:c>
      <x:c r="AD120" s="16" t="n">
        <x:f>IF(M120="Three Phase",J120/3,IF(N120="R",J120,0))</x:f>
        <x:v>6.851304</x:v>
      </x:c>
      <x:c r="AE120" s="16" t="n">
        <x:f>IF(M120="Three Phase",K120/3,IF(N120="R",K120,0))</x:f>
        <x:v>3.101560149262165</x:v>
      </x:c>
      <x:c r="AF120" s="16" t="n">
        <x:f>IF(M120="Three Phase",J120/3,IF(N120="Y",J120,0))</x:f>
        <x:v>6.851304</x:v>
      </x:c>
      <x:c r="AG120" s="16" t="n">
        <x:f>IF(M120="Three Phase",K120/3,IF(N120="Y",K120,0))</x:f>
        <x:v>3.101560149262165</x:v>
      </x:c>
      <x:c r="AH120" s="16" t="n">
        <x:f>IF(M120="Three Phase",J120/3,IF(N120="B",J120,0))</x:f>
        <x:v>6.851304</x:v>
      </x:c>
      <x:c r="AI120" s="16" t="n">
        <x:f>IF(M120="Three Phase",K120/3,IF(N120="B",K120,0))</x:f>
        <x:v>3.101560149262165</x:v>
      </x:c>
      <x:c r="AJ120" s="16" t="n">
        <x:f>IF(M120="Three Phase",U120/3,IF(N120="R",U120,0))</x:f>
        <x:v>4.204368</x:v>
      </x:c>
      <x:c r="AK120" s="16" t="n">
        <x:f>IF(M120="Three Phase",V120/3,IF(N120="R",V120,0))</x:f>
        <x:v>1.9033019468458952</x:v>
      </x:c>
      <x:c r="AL120" s="16" t="n">
        <x:f>IF(M120="Three Phase",U120/3,IF(N120="Y",U120,0))</x:f>
        <x:v>4.204368</x:v>
      </x:c>
      <x:c r="AM120" s="16" t="n">
        <x:f>IF(M120="Three Phase",V120/3,IF(N120="Y",V120,0))</x:f>
        <x:v>1.9033019468458952</x:v>
      </x:c>
      <x:c r="AN120" s="16" t="n">
        <x:f>IF(M120="Three Phase",U120/3,IF(N120="B",U120,0))</x:f>
        <x:v>4.204368</x:v>
      </x:c>
      <x:c r="AO120" s="16" t="n">
        <x:f>IF(M120="Three Phase",V120/3,IF(N120="B",V120,0))</x:f>
        <x:v>1.9033019468458952</x:v>
      </x:c>
    </x:row>
    <x:row r="121">
      <x:c r="A121" s="13" t="str">
        <x:v>C0120</x:v>
      </x:c>
      <x:c r="B121" s="13" t="str">
        <x:v>DT-7</x:v>
      </x:c>
      <x:c r="C121" s="13" t="str">
        <x:v>Residential</x:v>
      </x:c>
      <x:c r="D121" s="16" t="n">
        <x:v>5.5</x:v>
      </x:c>
      <x:c r="E121" s="16" t="n">
        <x:v>0.51</x:v>
      </x:c>
      <x:c r="F121" s="16" t="n">
        <x:f>D121*E121</x:f>
        <x:v>2.805</x:v>
      </x:c>
      <x:c r="G121" s="16" t="n">
        <x:v>0.91</x:v>
      </x:c>
      <x:c r="H121" s="16" t="n">
        <x:f>F121/G121</x:f>
        <x:v>3.0824175824175826</x:v>
      </x:c>
      <x:c r="I121" s="16" t="n">
        <x:v>0.78</x:v>
      </x:c>
      <x:c r="J121" s="16" t="n">
        <x:f>F121*I121</x:f>
        <x:v>2.1879000000000004</x:v>
      </x:c>
      <x:c r="K121" s="16" t="n">
        <x:f>J121*TAN(ACOS(G121))</x:f>
        <x:v>0.9968366896931349</x:v>
      </x:c>
      <x:c r="L121" s="16" t="n">
        <x:f>SQRT(J121^2+K121^2)</x:f>
        <x:v>2.404285714285715</x:v>
      </x:c>
      <x:c r="M121" s="16" t="str">
        <x:v>Single Phase</x:v>
      </x:c>
      <x:c r="N121" s="16" t="str">
        <x:v>B</x:v>
      </x:c>
      <x:c r="O121" s="16" t="str">
        <x:v>No</x:v>
      </x:c>
      <x:c r="P121" s="16" t="n">
        <x:v>0</x:v>
      </x:c>
      <x:c r="Q121" s="16" t="n">
        <x:v>0.357</x:v>
      </x:c>
      <x:c r="R121" s="16" t="n">
        <x:v>0</x:v>
      </x:c>
      <x:c r="S121" s="16" t="n">
        <x:f>F121*Q121</x:f>
        <x:v>1.001385</x:v>
      </x:c>
      <x:c r="T121" s="16" t="n">
        <x:f>IF(O121="Yes",P121*R121,0)</x:f>
        <x:v>0</x:v>
      </x:c>
      <x:c r="U121" s="16" t="n">
        <x:f>S121-T121</x:f>
        <x:v>1.001385</x:v>
      </x:c>
      <x:c r="V121" s="16" t="n">
        <x:f>S121*TAN(ACOS(G121))</x:f>
        <x:v>0.45624448489801167</x:v>
      </x:c>
      <x:c r="W121" s="16" t="n">
        <x:f>SQRT(U121^2+V121^2)</x:f>
        <x:v>1.1004230769230767</x:v>
      </x:c>
      <x:c r="X121" s="13" t="str">
        <x:v>No</x:v>
      </x:c>
      <x:c r="Y121" s="13" t="str"/>
      <x:c r="Z121" s="18" t="str"/>
      <x:c r="AA121" s="13" t="str"/>
      <x:c r="AB121" s="18" t="str"/>
      <x:c r="AC121" s="13" t="str">
        <x:v>No</x:v>
      </x:c>
      <x:c r="AD121" s="16" t="n">
        <x:f>IF(M121="Three Phase",J121/3,IF(N121="R",J121,0))</x:f>
        <x:v>0</x:v>
      </x:c>
      <x:c r="AE121" s="16" t="n">
        <x:f>IF(M121="Three Phase",K121/3,IF(N121="R",K121,0))</x:f>
        <x:v>0</x:v>
      </x:c>
      <x:c r="AF121" s="16" t="n">
        <x:f>IF(M121="Three Phase",J121/3,IF(N121="Y",J121,0))</x:f>
        <x:v>0</x:v>
      </x:c>
      <x:c r="AG121" s="16" t="n">
        <x:f>IF(M121="Three Phase",K121/3,IF(N121="Y",K121,0))</x:f>
        <x:v>0</x:v>
      </x:c>
      <x:c r="AH121" s="16" t="n">
        <x:f>IF(M121="Three Phase",J121/3,IF(N121="B",J121,0))</x:f>
        <x:v>2.1879000000000004</x:v>
      </x:c>
      <x:c r="AI121" s="16" t="n">
        <x:f>IF(M121="Three Phase",K121/3,IF(N121="B",K121,0))</x:f>
        <x:v>0.9968366896931349</x:v>
      </x:c>
      <x:c r="AJ121" s="16" t="n">
        <x:f>IF(M121="Three Phase",U121/3,IF(N121="R",U121,0))</x:f>
        <x:v>0</x:v>
      </x:c>
      <x:c r="AK121" s="16" t="n">
        <x:f>IF(M121="Three Phase",V121/3,IF(N121="R",V121,0))</x:f>
        <x:v>0</x:v>
      </x:c>
      <x:c r="AL121" s="16" t="n">
        <x:f>IF(M121="Three Phase",U121/3,IF(N121="Y",U121,0))</x:f>
        <x:v>0</x:v>
      </x:c>
      <x:c r="AM121" s="16" t="n">
        <x:f>IF(M121="Three Phase",V121/3,IF(N121="Y",V121,0))</x:f>
        <x:v>0</x:v>
      </x:c>
      <x:c r="AN121" s="16" t="n">
        <x:f>IF(M121="Three Phase",U121/3,IF(N121="B",U121,0))</x:f>
        <x:v>1.001385</x:v>
      </x:c>
      <x:c r="AO121" s="16" t="n">
        <x:f>IF(M121="Three Phase",V121/3,IF(N121="B",V121,0))</x:f>
        <x:v>0.45624448489801167</x:v>
      </x:c>
    </x:row>
    <x:row r="122">
      <x:c r="A122" s="13" t="str">
        <x:v>C0121</x:v>
      </x:c>
      <x:c r="B122" s="13" t="str">
        <x:v>DT-7</x:v>
      </x:c>
      <x:c r="C122" s="13" t="str">
        <x:v>Commercial</x:v>
      </x:c>
      <x:c r="D122" s="16" t="n">
        <x:v>7.5</x:v>
      </x:c>
      <x:c r="E122" s="16" t="n">
        <x:v>0.81</x:v>
      </x:c>
      <x:c r="F122" s="16" t="n">
        <x:f>D122*E122</x:f>
        <x:v>6.075</x:v>
      </x:c>
      <x:c r="G122" s="16" t="n">
        <x:v>0.913</x:v>
      </x:c>
      <x:c r="H122" s="16" t="n">
        <x:f>F122/G122</x:f>
        <x:v>6.6538882803943045</x:v>
      </x:c>
      <x:c r="I122" s="16" t="n">
        <x:v>0.61</x:v>
      </x:c>
      <x:c r="J122" s="16" t="n">
        <x:f>F122*I122</x:f>
        <x:v>3.70575</x:v>
      </x:c>
      <x:c r="K122" s="16" t="n">
        <x:f>J122*TAN(ACOS(G122))</x:f>
        <x:v>1.655855561535831</x:v>
      </x:c>
      <x:c r="L122" s="16" t="n">
        <x:f>SQRT(J122^2+K122^2)</x:f>
        <x:v>4.058871851040526</x:v>
      </x:c>
      <x:c r="M122" s="16" t="str">
        <x:v>Three Phase</x:v>
      </x:c>
      <x:c r="N122" s="16" t="str">
        <x:v>RYB</x:v>
      </x:c>
      <x:c r="O122" s="16" t="str">
        <x:v>No</x:v>
      </x:c>
      <x:c r="P122" s="16" t="n">
        <x:v>0</x:v>
      </x:c>
      <x:c r="Q122" s="16" t="n">
        <x:v>0.491</x:v>
      </x:c>
      <x:c r="R122" s="16" t="n">
        <x:v>0</x:v>
      </x:c>
      <x:c r="S122" s="16" t="n">
        <x:f>F122*Q122</x:f>
        <x:v>2.982825</x:v>
      </x:c>
      <x:c r="T122" s="16" t="n">
        <x:f>IF(O122="Yes",P122*R122,0)</x:f>
        <x:v>0</x:v>
      </x:c>
      <x:c r="U122" s="16" t="n">
        <x:f>S122-T122</x:f>
        <x:v>2.982825</x:v>
      </x:c>
      <x:c r="V122" s="16" t="n">
        <x:f>S122*TAN(ACOS(G122))</x:f>
        <x:v>1.3328280011706444</x:v>
      </x:c>
      <x:c r="W122" s="16" t="n">
        <x:f>SQRT(U122^2+V122^2)</x:f>
        <x:v>3.2670591456736036</x:v>
      </x:c>
      <x:c r="X122" s="13" t="str">
        <x:v>No</x:v>
      </x:c>
      <x:c r="Y122" s="13" t="str"/>
      <x:c r="Z122" s="18" t="str"/>
      <x:c r="AA122" s="13" t="str"/>
      <x:c r="AB122" s="18" t="str"/>
      <x:c r="AC122" s="13" t="str">
        <x:v>No</x:v>
      </x:c>
      <x:c r="AD122" s="16" t="n">
        <x:f>IF(M122="Three Phase",J122/3,IF(N122="R",J122,0))</x:f>
        <x:v>1.23525</x:v>
      </x:c>
      <x:c r="AE122" s="16" t="n">
        <x:f>IF(M122="Three Phase",K122/3,IF(N122="R",K122,0))</x:f>
        <x:v>0.551951853845277</x:v>
      </x:c>
      <x:c r="AF122" s="16" t="n">
        <x:f>IF(M122="Three Phase",J122/3,IF(N122="Y",J122,0))</x:f>
        <x:v>1.23525</x:v>
      </x:c>
      <x:c r="AG122" s="16" t="n">
        <x:f>IF(M122="Three Phase",K122/3,IF(N122="Y",K122,0))</x:f>
        <x:v>0.551951853845277</x:v>
      </x:c>
      <x:c r="AH122" s="16" t="n">
        <x:f>IF(M122="Three Phase",J122/3,IF(N122="B",J122,0))</x:f>
        <x:v>1.23525</x:v>
      </x:c>
      <x:c r="AI122" s="16" t="n">
        <x:f>IF(M122="Three Phase",K122/3,IF(N122="B",K122,0))</x:f>
        <x:v>0.551951853845277</x:v>
      </x:c>
      <x:c r="AJ122" s="16" t="n">
        <x:f>IF(M122="Three Phase",U122/3,IF(N122="R",U122,0))</x:f>
        <x:v>0.994275</x:v>
      </x:c>
      <x:c r="AK122" s="16" t="n">
        <x:f>IF(M122="Three Phase",V122/3,IF(N122="R",V122,0))</x:f>
        <x:v>0.4442760003902148</x:v>
      </x:c>
      <x:c r="AL122" s="16" t="n">
        <x:f>IF(M122="Three Phase",U122/3,IF(N122="Y",U122,0))</x:f>
        <x:v>0.994275</x:v>
      </x:c>
      <x:c r="AM122" s="16" t="n">
        <x:f>IF(M122="Three Phase",V122/3,IF(N122="Y",V122,0))</x:f>
        <x:v>0.4442760003902148</x:v>
      </x:c>
      <x:c r="AN122" s="16" t="n">
        <x:f>IF(M122="Three Phase",U122/3,IF(N122="B",U122,0))</x:f>
        <x:v>0.994275</x:v>
      </x:c>
      <x:c r="AO122" s="16" t="n">
        <x:f>IF(M122="Three Phase",V122/3,IF(N122="B",V122,0))</x:f>
        <x:v>0.4442760003902148</x:v>
      </x:c>
    </x:row>
    <x:row r="123">
      <x:c r="A123" s="13" t="str">
        <x:v>C0122</x:v>
      </x:c>
      <x:c r="B123" s="13" t="str">
        <x:v>DT-7</x:v>
      </x:c>
      <x:c r="C123" s="13" t="str">
        <x:v>Residential</x:v>
      </x:c>
      <x:c r="D123" s="16" t="n">
        <x:v>4</x:v>
      </x:c>
      <x:c r="E123" s="16" t="n">
        <x:v>0.699</x:v>
      </x:c>
      <x:c r="F123" s="16" t="n">
        <x:f>D123*E123</x:f>
        <x:v>2.796</x:v>
      </x:c>
      <x:c r="G123" s="16" t="n">
        <x:v>0.969</x:v>
      </x:c>
      <x:c r="H123" s="16" t="n">
        <x:f>F123/G123</x:f>
        <x:v>2.8854489164086687</x:v>
      </x:c>
      <x:c r="I123" s="16" t="n">
        <x:v>0.723</x:v>
      </x:c>
      <x:c r="J123" s="16" t="n">
        <x:f>F123*I123</x:f>
        <x:v>2.021508</x:v>
      </x:c>
      <x:c r="K123" s="16" t="n">
        <x:f>J123*TAN(ACOS(G123))</x:f>
        <x:v>0.5154130284373275</x:v>
      </x:c>
      <x:c r="L123" s="16" t="n">
        <x:f>SQRT(J123^2+K123^2)</x:f>
        <x:v>2.0861795665634673</x:v>
      </x:c>
      <x:c r="M123" s="16" t="str">
        <x:v>Single Phase</x:v>
      </x:c>
      <x:c r="N123" s="16" t="str">
        <x:v>Y</x:v>
      </x:c>
      <x:c r="O123" s="16" t="str">
        <x:v>No</x:v>
      </x:c>
      <x:c r="P123" s="16" t="n">
        <x:v>0</x:v>
      </x:c>
      <x:c r="Q123" s="16" t="n">
        <x:v>0.255</x:v>
      </x:c>
      <x:c r="R123" s="16" t="n">
        <x:v>0</x:v>
      </x:c>
      <x:c r="S123" s="16" t="n">
        <x:f>F123*Q123</x:f>
        <x:v>0.71298</x:v>
      </x:c>
      <x:c r="T123" s="16" t="n">
        <x:f>IF(O123="Yes",P123*R123,0)</x:f>
        <x:v>0</x:v>
      </x:c>
      <x:c r="U123" s="16" t="n">
        <x:f>S123-T123</x:f>
        <x:v>0.71298</x:v>
      </x:c>
      <x:c r="V123" s="16" t="n">
        <x:f>S123*TAN(ACOS(G123))</x:f>
        <x:v>0.18178467807955534</x:v>
      </x:c>
      <x:c r="W123" s="16" t="n">
        <x:f>SQRT(U123^2+V123^2)</x:f>
        <x:v>0.7357894736842105</x:v>
      </x:c>
      <x:c r="X123" s="13" t="str">
        <x:v>Yes</x:v>
      </x:c>
      <x:c r="Y123" s="13" t="str">
        <x:v>DT-5</x:v>
      </x:c>
      <x:c r="Z123" s="18" t="n">
        <x:v>129</x:v>
      </x:c>
      <x:c r="AA123" s="13" t="str"/>
      <x:c r="AB123" s="18" t="str"/>
      <x:c r="AC123" s="13" t="str">
        <x:v>Yes</x:v>
      </x:c>
      <x:c r="AD123" s="16" t="n">
        <x:f>IF(M123="Three Phase",J123/3,IF(N123="R",J123,0))</x:f>
        <x:v>0</x:v>
      </x:c>
      <x:c r="AE123" s="16" t="n">
        <x:f>IF(M123="Three Phase",K123/3,IF(N123="R",K123,0))</x:f>
        <x:v>0</x:v>
      </x:c>
      <x:c r="AF123" s="16" t="n">
        <x:f>IF(M123="Three Phase",J123/3,IF(N123="Y",J123,0))</x:f>
        <x:v>2.021508</x:v>
      </x:c>
      <x:c r="AG123" s="16" t="n">
        <x:f>IF(M123="Three Phase",K123/3,IF(N123="Y",K123,0))</x:f>
        <x:v>0.5154130284373275</x:v>
      </x:c>
      <x:c r="AH123" s="16" t="n">
        <x:f>IF(M123="Three Phase",J123/3,IF(N123="B",J123,0))</x:f>
        <x:v>0</x:v>
      </x:c>
      <x:c r="AI123" s="16" t="n">
        <x:f>IF(M123="Three Phase",K123/3,IF(N123="B",K123,0))</x:f>
        <x:v>0</x:v>
      </x:c>
      <x:c r="AJ123" s="16" t="n">
        <x:f>IF(M123="Three Phase",U123/3,IF(N123="R",U123,0))</x:f>
        <x:v>0</x:v>
      </x:c>
      <x:c r="AK123" s="16" t="n">
        <x:f>IF(M123="Three Phase",V123/3,IF(N123="R",V123,0))</x:f>
        <x:v>0</x:v>
      </x:c>
      <x:c r="AL123" s="16" t="n">
        <x:f>IF(M123="Three Phase",U123/3,IF(N123="Y",U123,0))</x:f>
        <x:v>0.71298</x:v>
      </x:c>
      <x:c r="AM123" s="16" t="n">
        <x:f>IF(M123="Three Phase",V123/3,IF(N123="Y",V123,0))</x:f>
        <x:v>0.18178467807955534</x:v>
      </x:c>
      <x:c r="AN123" s="16" t="n">
        <x:f>IF(M123="Three Phase",U123/3,IF(N123="B",U123,0))</x:f>
        <x:v>0</x:v>
      </x:c>
      <x:c r="AO123" s="16" t="n">
        <x:f>IF(M123="Three Phase",V123/3,IF(N123="B",V123,0))</x:f>
        <x:v>0</x:v>
      </x:c>
    </x:row>
    <x:row r="124">
      <x:c r="A124" s="13" t="str">
        <x:v>C0123</x:v>
      </x:c>
      <x:c r="B124" s="13" t="str">
        <x:v>DT-7</x:v>
      </x:c>
      <x:c r="C124" s="13" t="str">
        <x:v>Residential</x:v>
      </x:c>
      <x:c r="D124" s="16" t="n">
        <x:v>4</x:v>
      </x:c>
      <x:c r="E124" s="16" t="n">
        <x:v>0.583</x:v>
      </x:c>
      <x:c r="F124" s="16" t="n">
        <x:f>D124*E124</x:f>
        <x:v>2.332</x:v>
      </x:c>
      <x:c r="G124" s="16" t="n">
        <x:v>0.92</x:v>
      </x:c>
      <x:c r="H124" s="16" t="n">
        <x:f>F124/G124</x:f>
        <x:v>2.534782608695652</x:v>
      </x:c>
      <x:c r="I124" s="16" t="n">
        <x:v>0.809</x:v>
      </x:c>
      <x:c r="J124" s="16" t="n">
        <x:f>F124*I124</x:f>
        <x:v>1.886588</x:v>
      </x:c>
      <x:c r="K124" s="16" t="n">
        <x:f>J124*TAN(ACOS(G124))</x:f>
        <x:v>0.8036831225839702</x:v>
      </x:c>
      <x:c r="L124" s="16" t="n">
        <x:f>SQRT(J124^2+K124^2)</x:f>
        <x:v>2.0506391304347824</x:v>
      </x:c>
      <x:c r="M124" s="16" t="str">
        <x:v>Single Phase</x:v>
      </x:c>
      <x:c r="N124" s="16" t="str">
        <x:v>B</x:v>
      </x:c>
      <x:c r="O124" s="16" t="str">
        <x:v>No</x:v>
      </x:c>
      <x:c r="P124" s="16" t="n">
        <x:v>0</x:v>
      </x:c>
      <x:c r="Q124" s="16" t="n">
        <x:v>0.372</x:v>
      </x:c>
      <x:c r="R124" s="16" t="n">
        <x:v>0</x:v>
      </x:c>
      <x:c r="S124" s="16" t="n">
        <x:f>F124*Q124</x:f>
        <x:v>0.8675039999999999</x:v>
      </x:c>
      <x:c r="T124" s="16" t="n">
        <x:f>IF(O124="Yes",P124*R124,0)</x:f>
        <x:v>0</x:v>
      </x:c>
      <x:c r="U124" s="16" t="n">
        <x:f>S124-T124</x:f>
        <x:v>0.8675039999999999</x:v>
      </x:c>
      <x:c r="V124" s="16" t="n">
        <x:f>S124*TAN(ACOS(G124))</x:f>
        <x:v>0.36955515649102216</x:v>
      </x:c>
      <x:c r="W124" s="16" t="n">
        <x:f>SQRT(U124^2+V124^2)</x:f>
        <x:v>0.9429391304347825</x:v>
      </x:c>
      <x:c r="X124" s="13" t="str">
        <x:v>No</x:v>
      </x:c>
      <x:c r="Y124" s="13" t="str"/>
      <x:c r="Z124" s="18" t="str"/>
      <x:c r="AA124" s="13" t="str"/>
      <x:c r="AB124" s="18" t="str"/>
      <x:c r="AC124" s="13" t="str">
        <x:v>No</x:v>
      </x:c>
      <x:c r="AD124" s="16" t="n">
        <x:f>IF(M124="Three Phase",J124/3,IF(N124="R",J124,0))</x:f>
        <x:v>0</x:v>
      </x:c>
      <x:c r="AE124" s="16" t="n">
        <x:f>IF(M124="Three Phase",K124/3,IF(N124="R",K124,0))</x:f>
        <x:v>0</x:v>
      </x:c>
      <x:c r="AF124" s="16" t="n">
        <x:f>IF(M124="Three Phase",J124/3,IF(N124="Y",J124,0))</x:f>
        <x:v>0</x:v>
      </x:c>
      <x:c r="AG124" s="16" t="n">
        <x:f>IF(M124="Three Phase",K124/3,IF(N124="Y",K124,0))</x:f>
        <x:v>0</x:v>
      </x:c>
      <x:c r="AH124" s="16" t="n">
        <x:f>IF(M124="Three Phase",J124/3,IF(N124="B",J124,0))</x:f>
        <x:v>1.886588</x:v>
      </x:c>
      <x:c r="AI124" s="16" t="n">
        <x:f>IF(M124="Three Phase",K124/3,IF(N124="B",K124,0))</x:f>
        <x:v>0.8036831225839702</x:v>
      </x:c>
      <x:c r="AJ124" s="16" t="n">
        <x:f>IF(M124="Three Phase",U124/3,IF(N124="R",U124,0))</x:f>
        <x:v>0</x:v>
      </x:c>
      <x:c r="AK124" s="16" t="n">
        <x:f>IF(M124="Three Phase",V124/3,IF(N124="R",V124,0))</x:f>
        <x:v>0</x:v>
      </x:c>
      <x:c r="AL124" s="16" t="n">
        <x:f>IF(M124="Three Phase",U124/3,IF(N124="Y",U124,0))</x:f>
        <x:v>0</x:v>
      </x:c>
      <x:c r="AM124" s="16" t="n">
        <x:f>IF(M124="Three Phase",V124/3,IF(N124="Y",V124,0))</x:f>
        <x:v>0</x:v>
      </x:c>
      <x:c r="AN124" s="16" t="n">
        <x:f>IF(M124="Three Phase",U124/3,IF(N124="B",U124,0))</x:f>
        <x:v>0.8675039999999999</x:v>
      </x:c>
      <x:c r="AO124" s="16" t="n">
        <x:f>IF(M124="Three Phase",V124/3,IF(N124="B",V124,0))</x:f>
        <x:v>0.36955515649102216</x:v>
      </x:c>
    </x:row>
    <x:row r="125">
      <x:c r="A125" s="13" t="str">
        <x:v>C0124</x:v>
      </x:c>
      <x:c r="B125" s="13" t="str">
        <x:v>DT-7</x:v>
      </x:c>
      <x:c r="C125" s="13" t="str">
        <x:v>Commercial</x:v>
      </x:c>
      <x:c r="D125" s="16" t="n">
        <x:v>15</x:v>
      </x:c>
      <x:c r="E125" s="16" t="n">
        <x:v>0.792</x:v>
      </x:c>
      <x:c r="F125" s="16" t="n">
        <x:f>D125*E125</x:f>
        <x:v>11.88</x:v>
      </x:c>
      <x:c r="G125" s="16" t="n">
        <x:v>0.933</x:v>
      </x:c>
      <x:c r="H125" s="16" t="n">
        <x:f>F125/G125</x:f>
        <x:v>12.733118971061094</x:v>
      </x:c>
      <x:c r="I125" s="16" t="n">
        <x:v>0.824</x:v>
      </x:c>
      <x:c r="J125" s="16" t="n">
        <x:f>F125*I125</x:f>
        <x:v>9.78912</x:v>
      </x:c>
      <x:c r="K125" s="16" t="n">
        <x:f>J125*TAN(ACOS(G125))</x:f>
        <x:v>3.7758552499311286</x:v>
      </x:c>
      <x:c r="L125" s="16" t="n">
        <x:f>SQRT(J125^2+K125^2)</x:f>
        <x:v>10.49209003215434</x:v>
      </x:c>
      <x:c r="M125" s="16" t="str">
        <x:v>Three Phase</x:v>
      </x:c>
      <x:c r="N125" s="16" t="str">
        <x:v>RYB</x:v>
      </x:c>
      <x:c r="O125" s="16" t="str">
        <x:v>Yes</x:v>
      </x:c>
      <x:c r="P125" s="16" t="n">
        <x:v>9</x:v>
      </x:c>
      <x:c r="Q125" s="16" t="n">
        <x:v>0.796</x:v>
      </x:c>
      <x:c r="R125" s="16" t="n">
        <x:v>0.884</x:v>
      </x:c>
      <x:c r="S125" s="16" t="n">
        <x:f>F125*Q125</x:f>
        <x:v>9.45648</x:v>
      </x:c>
      <x:c r="T125" s="16" t="n">
        <x:f>IF(O125="Yes",P125*R125,0)</x:f>
        <x:v>7.956</x:v>
      </x:c>
      <x:c r="U125" s="16" t="n">
        <x:f>S125-T125</x:f>
        <x:v>1.5004800000000005</x:v>
      </x:c>
      <x:c r="V125" s="16" t="n">
        <x:f>S125*TAN(ACOS(G125))</x:f>
        <x:v>3.6475494890111393</x:v>
      </x:c>
      <x:c r="W125" s="16" t="n">
        <x:f>SQRT(U125^2+V125^2)</x:f>
        <x:v>3.944116821949551</x:v>
      </x:c>
      <x:c r="X125" s="13" t="str">
        <x:v>No</x:v>
      </x:c>
      <x:c r="Y125" s="13" t="str"/>
      <x:c r="Z125" s="18" t="str"/>
      <x:c r="AA125" s="13" t="str"/>
      <x:c r="AB125" s="18" t="str"/>
      <x:c r="AC125" s="13" t="str">
        <x:v>No</x:v>
      </x:c>
      <x:c r="AD125" s="16" t="n">
        <x:f>IF(M125="Three Phase",J125/3,IF(N125="R",J125,0))</x:f>
        <x:v>3.26304</x:v>
      </x:c>
      <x:c r="AE125" s="16" t="n">
        <x:f>IF(M125="Three Phase",K125/3,IF(N125="R",K125,0))</x:f>
        <x:v>1.2586184166437095</x:v>
      </x:c>
      <x:c r="AF125" s="16" t="n">
        <x:f>IF(M125="Three Phase",J125/3,IF(N125="Y",J125,0))</x:f>
        <x:v>3.26304</x:v>
      </x:c>
      <x:c r="AG125" s="16" t="n">
        <x:f>IF(M125="Three Phase",K125/3,IF(N125="Y",K125,0))</x:f>
        <x:v>1.2586184166437095</x:v>
      </x:c>
      <x:c r="AH125" s="16" t="n">
        <x:f>IF(M125="Three Phase",J125/3,IF(N125="B",J125,0))</x:f>
        <x:v>3.26304</x:v>
      </x:c>
      <x:c r="AI125" s="16" t="n">
        <x:f>IF(M125="Three Phase",K125/3,IF(N125="B",K125,0))</x:f>
        <x:v>1.2586184166437095</x:v>
      </x:c>
      <x:c r="AJ125" s="16" t="n">
        <x:f>IF(M125="Three Phase",U125/3,IF(N125="R",U125,0))</x:f>
        <x:v>0.5001600000000002</x:v>
      </x:c>
      <x:c r="AK125" s="16" t="n">
        <x:f>IF(M125="Three Phase",V125/3,IF(N125="R",V125,0))</x:f>
        <x:v>1.2158498296703797</x:v>
      </x:c>
      <x:c r="AL125" s="16" t="n">
        <x:f>IF(M125="Three Phase",U125/3,IF(N125="Y",U125,0))</x:f>
        <x:v>0.5001600000000002</x:v>
      </x:c>
      <x:c r="AM125" s="16" t="n">
        <x:f>IF(M125="Three Phase",V125/3,IF(N125="Y",V125,0))</x:f>
        <x:v>1.2158498296703797</x:v>
      </x:c>
      <x:c r="AN125" s="16" t="n">
        <x:f>IF(M125="Three Phase",U125/3,IF(N125="B",U125,0))</x:f>
        <x:v>0.5001600000000002</x:v>
      </x:c>
      <x:c r="AO125" s="16" t="n">
        <x:f>IF(M125="Three Phase",V125/3,IF(N125="B",V125,0))</x:f>
        <x:v>1.2158498296703797</x:v>
      </x:c>
    </x:row>
    <x:row r="126">
      <x:c r="A126" s="13" t="str">
        <x:v>C0125</x:v>
      </x:c>
      <x:c r="B126" s="13" t="str">
        <x:v>DT-7</x:v>
      </x:c>
      <x:c r="C126" s="13" t="str">
        <x:v>Commercial</x:v>
      </x:c>
      <x:c r="D126" s="16" t="n">
        <x:v>11.5</x:v>
      </x:c>
      <x:c r="E126" s="16" t="n">
        <x:v>0.86</x:v>
      </x:c>
      <x:c r="F126" s="16" t="n">
        <x:f>D126*E126</x:f>
        <x:v>9.89</x:v>
      </x:c>
      <x:c r="G126" s="16" t="n">
        <x:v>0.98</x:v>
      </x:c>
      <x:c r="H126" s="16" t="n">
        <x:f>F126/G126</x:f>
        <x:v>10.091836734693878</x:v>
      </x:c>
      <x:c r="I126" s="16" t="n">
        <x:v>0.768</x:v>
      </x:c>
      <x:c r="J126" s="16" t="n">
        <x:f>F126*I126</x:f>
        <x:v>7.5955200000000005</x:v>
      </x:c>
      <x:c r="K126" s="16" t="n">
        <x:f>J126*TAN(ACOS(G126))</x:f>
        <x:v>1.5423361180187913</x:v>
      </x:c>
      <x:c r="L126" s="16" t="n">
        <x:f>SQRT(J126^2+K126^2)</x:f>
        <x:v>7.750530612244899</x:v>
      </x:c>
      <x:c r="M126" s="16" t="str">
        <x:v>Three Phase</x:v>
      </x:c>
      <x:c r="N126" s="16" t="str">
        <x:v>RYB</x:v>
      </x:c>
      <x:c r="O126" s="16" t="str">
        <x:v>No</x:v>
      </x:c>
      <x:c r="P126" s="16" t="n">
        <x:v>0</x:v>
      </x:c>
      <x:c r="Q126" s="16" t="n">
        <x:v>0.787</x:v>
      </x:c>
      <x:c r="R126" s="16" t="n">
        <x:v>0</x:v>
      </x:c>
      <x:c r="S126" s="16" t="n">
        <x:f>F126*Q126</x:f>
        <x:v>7.783430000000001</x:v>
      </x:c>
      <x:c r="T126" s="16" t="n">
        <x:f>IF(O126="Yes",P126*R126,0)</x:f>
        <x:v>0</x:v>
      </x:c>
      <x:c r="U126" s="16" t="n">
        <x:f>S126-T126</x:f>
        <x:v>7.783430000000001</x:v>
      </x:c>
      <x:c r="V126" s="16" t="n">
        <x:f>S126*TAN(ACOS(G126))</x:f>
        <x:v>1.580492870938527</x:v>
      </x:c>
      <x:c r="W126" s="16" t="n">
        <x:f>SQRT(U126^2+V126^2)</x:f>
        <x:v>7.942275510204083</x:v>
      </x:c>
      <x:c r="X126" s="13" t="str">
        <x:v>Yes</x:v>
      </x:c>
      <x:c r="Y126" s="13" t="str">
        <x:v>DT-8</x:v>
      </x:c>
      <x:c r="Z126" s="18" t="n">
        <x:v>84</x:v>
      </x:c>
      <x:c r="AA126" s="13" t="str"/>
      <x:c r="AB126" s="18" t="str"/>
      <x:c r="AC126" s="13" t="str">
        <x:v>No</x:v>
      </x:c>
      <x:c r="AD126" s="16" t="n">
        <x:f>IF(M126="Three Phase",J126/3,IF(N126="R",J126,0))</x:f>
        <x:v>2.5318400000000003</x:v>
      </x:c>
      <x:c r="AE126" s="16" t="n">
        <x:f>IF(M126="Three Phase",K126/3,IF(N126="R",K126,0))</x:f>
        <x:v>0.5141120393395971</x:v>
      </x:c>
      <x:c r="AF126" s="16" t="n">
        <x:f>IF(M126="Three Phase",J126/3,IF(N126="Y",J126,0))</x:f>
        <x:v>2.5318400000000003</x:v>
      </x:c>
      <x:c r="AG126" s="16" t="n">
        <x:f>IF(M126="Three Phase",K126/3,IF(N126="Y",K126,0))</x:f>
        <x:v>0.5141120393395971</x:v>
      </x:c>
      <x:c r="AH126" s="16" t="n">
        <x:f>IF(M126="Three Phase",J126/3,IF(N126="B",J126,0))</x:f>
        <x:v>2.5318400000000003</x:v>
      </x:c>
      <x:c r="AI126" s="16" t="n">
        <x:f>IF(M126="Three Phase",K126/3,IF(N126="B",K126,0))</x:f>
        <x:v>0.5141120393395971</x:v>
      </x:c>
      <x:c r="AJ126" s="16" t="n">
        <x:f>IF(M126="Three Phase",U126/3,IF(N126="R",U126,0))</x:f>
        <x:v>2.594476666666667</x:v>
      </x:c>
      <x:c r="AK126" s="16" t="n">
        <x:f>IF(M126="Three Phase",V126/3,IF(N126="R",V126,0))</x:f>
        <x:v>0.526830956979509</x:v>
      </x:c>
      <x:c r="AL126" s="16" t="n">
        <x:f>IF(M126="Three Phase",U126/3,IF(N126="Y",U126,0))</x:f>
        <x:v>2.594476666666667</x:v>
      </x:c>
      <x:c r="AM126" s="16" t="n">
        <x:f>IF(M126="Three Phase",V126/3,IF(N126="Y",V126,0))</x:f>
        <x:v>0.526830956979509</x:v>
      </x:c>
      <x:c r="AN126" s="16" t="n">
        <x:f>IF(M126="Three Phase",U126/3,IF(N126="B",U126,0))</x:f>
        <x:v>2.594476666666667</x:v>
      </x:c>
      <x:c r="AO126" s="16" t="n">
        <x:f>IF(M126="Three Phase",V126/3,IF(N126="B",V126,0))</x:f>
        <x:v>0.526830956979509</x:v>
      </x:c>
    </x:row>
    <x:row r="127">
      <x:c r="A127" s="13" t="str">
        <x:v>C0126</x:v>
      </x:c>
      <x:c r="B127" s="13" t="str">
        <x:v>DT-7</x:v>
      </x:c>
      <x:c r="C127" s="13" t="str">
        <x:v>Residential</x:v>
      </x:c>
      <x:c r="D127" s="16" t="n">
        <x:v>2</x:v>
      </x:c>
      <x:c r="E127" s="16" t="n">
        <x:v>0.562</x:v>
      </x:c>
      <x:c r="F127" s="16" t="n">
        <x:f>D127*E127</x:f>
        <x:v>1.124</x:v>
      </x:c>
      <x:c r="G127" s="16" t="n">
        <x:v>0.918</x:v>
      </x:c>
      <x:c r="H127" s="16" t="n">
        <x:f>F127/G127</x:f>
        <x:v>1.224400871459695</x:v>
      </x:c>
      <x:c r="I127" s="16" t="n">
        <x:v>0.799</x:v>
      </x:c>
      <x:c r="J127" s="16" t="n">
        <x:f>F127*I127</x:f>
        <x:v>0.8980760000000001</x:v>
      </x:c>
      <x:c r="K127" s="16" t="n">
        <x:f>J127*TAN(ACOS(G127))</x:f>
        <x:v>0.3879731196501256</x:v>
      </x:c>
      <x:c r="L127" s="16" t="n">
        <x:f>SQRT(J127^2+K127^2)</x:f>
        <x:v>0.9782962962962963</x:v>
      </x:c>
      <x:c r="M127" s="16" t="str">
        <x:v>Single Phase</x:v>
      </x:c>
      <x:c r="N127" s="16" t="str">
        <x:v>B</x:v>
      </x:c>
      <x:c r="O127" s="16" t="str">
        <x:v>No</x:v>
      </x:c>
      <x:c r="P127" s="16" t="n">
        <x:v>0</x:v>
      </x:c>
      <x:c r="Q127" s="16" t="n">
        <x:v>0.337</x:v>
      </x:c>
      <x:c r="R127" s="16" t="n">
        <x:v>0</x:v>
      </x:c>
      <x:c r="S127" s="16" t="n">
        <x:f>F127*Q127</x:f>
        <x:v>0.37878800000000007</x:v>
      </x:c>
      <x:c r="T127" s="16" t="n">
        <x:f>IF(O127="Yes",P127*R127,0)</x:f>
        <x:v>0</x:v>
      </x:c>
      <x:c r="U127" s="16" t="n">
        <x:f>S127-T127</x:f>
        <x:v>0.37878800000000007</x:v>
      </x:c>
      <x:c r="V127" s="16" t="n">
        <x:f>S127*TAN(ACOS(G127))</x:f>
        <x:v>0.16363822443315687</x:v>
      </x:c>
      <x:c r="W127" s="16" t="n">
        <x:f>SQRT(U127^2+V127^2)</x:f>
        <x:v>0.4126230936819173</x:v>
      </x:c>
      <x:c r="X127" s="13" t="str">
        <x:v>No</x:v>
      </x:c>
      <x:c r="Y127" s="13" t="str"/>
      <x:c r="Z127" s="18" t="str"/>
      <x:c r="AA127" s="13" t="str"/>
      <x:c r="AB127" s="18" t="str"/>
      <x:c r="AC127" s="13" t="str">
        <x:v>Yes</x:v>
      </x:c>
      <x:c r="AD127" s="16" t="n">
        <x:f>IF(M127="Three Phase",J127/3,IF(N127="R",J127,0))</x:f>
        <x:v>0</x:v>
      </x:c>
      <x:c r="AE127" s="16" t="n">
        <x:f>IF(M127="Three Phase",K127/3,IF(N127="R",K127,0))</x:f>
        <x:v>0</x:v>
      </x:c>
      <x:c r="AF127" s="16" t="n">
        <x:f>IF(M127="Three Phase",J127/3,IF(N127="Y",J127,0))</x:f>
        <x:v>0</x:v>
      </x:c>
      <x:c r="AG127" s="16" t="n">
        <x:f>IF(M127="Three Phase",K127/3,IF(N127="Y",K127,0))</x:f>
        <x:v>0</x:v>
      </x:c>
      <x:c r="AH127" s="16" t="n">
        <x:f>IF(M127="Three Phase",J127/3,IF(N127="B",J127,0))</x:f>
        <x:v>0.8980760000000001</x:v>
      </x:c>
      <x:c r="AI127" s="16" t="n">
        <x:f>IF(M127="Three Phase",K127/3,IF(N127="B",K127,0))</x:f>
        <x:v>0.3879731196501256</x:v>
      </x:c>
      <x:c r="AJ127" s="16" t="n">
        <x:f>IF(M127="Three Phase",U127/3,IF(N127="R",U127,0))</x:f>
        <x:v>0</x:v>
      </x:c>
      <x:c r="AK127" s="16" t="n">
        <x:f>IF(M127="Three Phase",V127/3,IF(N127="R",V127,0))</x:f>
        <x:v>0</x:v>
      </x:c>
      <x:c r="AL127" s="16" t="n">
        <x:f>IF(M127="Three Phase",U127/3,IF(N127="Y",U127,0))</x:f>
        <x:v>0</x:v>
      </x:c>
      <x:c r="AM127" s="16" t="n">
        <x:f>IF(M127="Three Phase",V127/3,IF(N127="Y",V127,0))</x:f>
        <x:v>0</x:v>
      </x:c>
      <x:c r="AN127" s="16" t="n">
        <x:f>IF(M127="Three Phase",U127/3,IF(N127="B",U127,0))</x:f>
        <x:v>0.37878800000000007</x:v>
      </x:c>
      <x:c r="AO127" s="16" t="n">
        <x:f>IF(M127="Three Phase",V127/3,IF(N127="B",V127,0))</x:f>
        <x:v>0.16363822443315687</x:v>
      </x:c>
    </x:row>
    <x:row r="128">
      <x:c r="A128" s="13" t="str">
        <x:v>C0127</x:v>
      </x:c>
      <x:c r="B128" s="13" t="str">
        <x:v>DT-8</x:v>
      </x:c>
      <x:c r="C128" s="13" t="str">
        <x:v>Residential</x:v>
      </x:c>
      <x:c r="D128" s="16" t="n">
        <x:v>1.5</x:v>
      </x:c>
      <x:c r="E128" s="16" t="n">
        <x:v>0.631</x:v>
      </x:c>
      <x:c r="F128" s="16" t="n">
        <x:f>D128*E128</x:f>
        <x:v>0.9465</x:v>
      </x:c>
      <x:c r="G128" s="16" t="n">
        <x:v>0.949</x:v>
      </x:c>
      <x:c r="H128" s="16" t="n">
        <x:f>F128/G128</x:f>
        <x:v>0.9973656480505796</x:v>
      </x:c>
      <x:c r="I128" s="16" t="n">
        <x:v>0.845</x:v>
      </x:c>
      <x:c r="J128" s="16" t="n">
        <x:f>F128*I128</x:f>
        <x:v>0.7997925</x:v>
      </x:c>
      <x:c r="K128" s="16" t="n">
        <x:f>J128*TAN(ACOS(G128))</x:f>
        <x:v>0.26570646555993616</x:v>
      </x:c>
      <x:c r="L128" s="16" t="n">
        <x:f>SQRT(J128^2+K128^2)</x:f>
        <x:v>0.8427739726027398</x:v>
      </x:c>
      <x:c r="M128" s="16" t="str">
        <x:v>Single Phase</x:v>
      </x:c>
      <x:c r="N128" s="16" t="str">
        <x:v>R</x:v>
      </x:c>
      <x:c r="O128" s="16" t="str">
        <x:v>Yes</x:v>
      </x:c>
      <x:c r="P128" s="16" t="n">
        <x:v>3</x:v>
      </x:c>
      <x:c r="Q128" s="16" t="n">
        <x:v>0.282</x:v>
      </x:c>
      <x:c r="R128" s="16" t="n">
        <x:v>0.917</x:v>
      </x:c>
      <x:c r="S128" s="16" t="n">
        <x:f>F128*Q128</x:f>
        <x:v>0.26691299999999996</x:v>
      </x:c>
      <x:c r="T128" s="16" t="n">
        <x:f>IF(O128="Yes",P128*R128,0)</x:f>
        <x:v>2.7510000000000003</x:v>
      </x:c>
      <x:c r="U128" s="16" t="n">
        <x:f>S128-T128</x:f>
        <x:v>-2.4840870000000006</x:v>
      </x:c>
      <x:c r="V128" s="16" t="n">
        <x:f>S128*TAN(ACOS(G128))</x:f>
        <x:v>0.08867363702710294</x:v>
      </x:c>
      <x:c r="W128" s="16" t="n">
        <x:f>SQRT(U128^2+V128^2)</x:f>
        <x:v>2.4856691729738727</x:v>
      </x:c>
      <x:c r="X128" s="13" t="str">
        <x:v>Yes</x:v>
      </x:c>
      <x:c r="Y128" s="13" t="str">
        <x:v>DT-6</x:v>
      </x:c>
      <x:c r="Z128" s="18" t="n">
        <x:v>104</x:v>
      </x:c>
      <x:c r="AA128" s="13" t="str"/>
      <x:c r="AB128" s="18" t="str"/>
      <x:c r="AC128" s="13" t="str">
        <x:v>Yes</x:v>
      </x:c>
      <x:c r="AD128" s="16" t="n">
        <x:f>IF(M128="Three Phase",J128/3,IF(N128="R",J128,0))</x:f>
        <x:v>0.7997925</x:v>
      </x:c>
      <x:c r="AE128" s="16" t="n">
        <x:f>IF(M128="Three Phase",K128/3,IF(N128="R",K128,0))</x:f>
        <x:v>0.26570646555993616</x:v>
      </x:c>
      <x:c r="AF128" s="16" t="n">
        <x:f>IF(M128="Three Phase",J128/3,IF(N128="Y",J128,0))</x:f>
        <x:v>0</x:v>
      </x:c>
      <x:c r="AG128" s="16" t="n">
        <x:f>IF(M128="Three Phase",K128/3,IF(N128="Y",K128,0))</x:f>
        <x:v>0</x:v>
      </x:c>
      <x:c r="AH128" s="16" t="n">
        <x:f>IF(M128="Three Phase",J128/3,IF(N128="B",J128,0))</x:f>
        <x:v>0</x:v>
      </x:c>
      <x:c r="AI128" s="16" t="n">
        <x:f>IF(M128="Three Phase",K128/3,IF(N128="B",K128,0))</x:f>
        <x:v>0</x:v>
      </x:c>
      <x:c r="AJ128" s="16" t="n">
        <x:f>IF(M128="Three Phase",U128/3,IF(N128="R",U128,0))</x:f>
        <x:v>-2.4840870000000006</x:v>
      </x:c>
      <x:c r="AK128" s="16" t="n">
        <x:f>IF(M128="Three Phase",V128/3,IF(N128="R",V128,0))</x:f>
        <x:v>0.08867363702710294</x:v>
      </x:c>
      <x:c r="AL128" s="16" t="n">
        <x:f>IF(M128="Three Phase",U128/3,IF(N128="Y",U128,0))</x:f>
        <x:v>0</x:v>
      </x:c>
      <x:c r="AM128" s="16" t="n">
        <x:f>IF(M128="Three Phase",V128/3,IF(N128="Y",V128,0))</x:f>
        <x:v>0</x:v>
      </x:c>
      <x:c r="AN128" s="16" t="n">
        <x:f>IF(M128="Three Phase",U128/3,IF(N128="B",U128,0))</x:f>
        <x:v>0</x:v>
      </x:c>
      <x:c r="AO128" s="16" t="n">
        <x:f>IF(M128="Three Phase",V128/3,IF(N128="B",V128,0))</x:f>
        <x:v>0</x:v>
      </x:c>
    </x:row>
    <x:row r="129">
      <x:c r="A129" s="13" t="str">
        <x:v>C0128</x:v>
      </x:c>
      <x:c r="B129" s="13" t="str">
        <x:v>DT-8</x:v>
      </x:c>
      <x:c r="C129" s="13" t="str">
        <x:v>Residential</x:v>
      </x:c>
      <x:c r="D129" s="16" t="n">
        <x:v>7</x:v>
      </x:c>
      <x:c r="E129" s="16" t="n">
        <x:v>0.796</x:v>
      </x:c>
      <x:c r="F129" s="16" t="n">
        <x:f>D129*E129</x:f>
        <x:v>5.572</x:v>
      </x:c>
      <x:c r="G129" s="16" t="n">
        <x:v>0.945</x:v>
      </x:c>
      <x:c r="H129" s="16" t="n">
        <x:f>F129/G129</x:f>
        <x:v>5.896296296296296</x:v>
      </x:c>
      <x:c r="I129" s="16" t="n">
        <x:v>0.868</x:v>
      </x:c>
      <x:c r="J129" s="16" t="n">
        <x:f>F129*I129</x:f>
        <x:v>4.836496</x:v>
      </x:c>
      <x:c r="K129" s="16" t="n">
        <x:f>J129*TAN(ACOS(G129))</x:f>
        <x:v>1.673941097458043</x:v>
      </x:c>
      <x:c r="L129" s="16" t="n">
        <x:f>SQRT(J129^2+K129^2)</x:f>
        <x:v>5.117985185185186</x:v>
      </x:c>
      <x:c r="M129" s="16" t="str">
        <x:v>Three Phase</x:v>
      </x:c>
      <x:c r="N129" s="16" t="str">
        <x:v>RYB</x:v>
      </x:c>
      <x:c r="O129" s="16" t="str">
        <x:v>No</x:v>
      </x:c>
      <x:c r="P129" s="16" t="n">
        <x:v>0</x:v>
      </x:c>
      <x:c r="Q129" s="16" t="n">
        <x:v>0.322</x:v>
      </x:c>
      <x:c r="R129" s="16" t="n">
        <x:v>0</x:v>
      </x:c>
      <x:c r="S129" s="16" t="n">
        <x:f>F129*Q129</x:f>
        <x:v>1.794184</x:v>
      </x:c>
      <x:c r="T129" s="16" t="n">
        <x:f>IF(O129="Yes",P129*R129,0)</x:f>
        <x:v>0</x:v>
      </x:c>
      <x:c r="U129" s="16" t="n">
        <x:f>S129-T129</x:f>
        <x:v>1.794184</x:v>
      </x:c>
      <x:c r="V129" s="16" t="n">
        <x:f>S129*TAN(ACOS(G129))</x:f>
        <x:v>0.620978149057016</x:v>
      </x:c>
      <x:c r="W129" s="16" t="n">
        <x:f>SQRT(U129^2+V129^2)</x:f>
        <x:v>1.8986074074074075</x:v>
      </x:c>
      <x:c r="X129" s="13" t="str">
        <x:v>No</x:v>
      </x:c>
      <x:c r="Y129" s="13" t="str"/>
      <x:c r="Z129" s="18" t="str"/>
      <x:c r="AA129" s="13" t="str"/>
      <x:c r="AB129" s="18" t="str"/>
      <x:c r="AC129" s="13" t="str">
        <x:v>No</x:v>
      </x:c>
      <x:c r="AD129" s="16" t="n">
        <x:f>IF(M129="Three Phase",J129/3,IF(N129="R",J129,0))</x:f>
        <x:v>1.6121653333333335</x:v>
      </x:c>
      <x:c r="AE129" s="16" t="n">
        <x:f>IF(M129="Three Phase",K129/3,IF(N129="R",K129,0))</x:f>
        <x:v>0.5579803658193477</x:v>
      </x:c>
      <x:c r="AF129" s="16" t="n">
        <x:f>IF(M129="Three Phase",J129/3,IF(N129="Y",J129,0))</x:f>
        <x:v>1.6121653333333335</x:v>
      </x:c>
      <x:c r="AG129" s="16" t="n">
        <x:f>IF(M129="Three Phase",K129/3,IF(N129="Y",K129,0))</x:f>
        <x:v>0.5579803658193477</x:v>
      </x:c>
      <x:c r="AH129" s="16" t="n">
        <x:f>IF(M129="Three Phase",J129/3,IF(N129="B",J129,0))</x:f>
        <x:v>1.6121653333333335</x:v>
      </x:c>
      <x:c r="AI129" s="16" t="n">
        <x:f>IF(M129="Three Phase",K129/3,IF(N129="B",K129,0))</x:f>
        <x:v>0.5579803658193477</x:v>
      </x:c>
      <x:c r="AJ129" s="16" t="n">
        <x:f>IF(M129="Three Phase",U129/3,IF(N129="R",U129,0))</x:f>
        <x:v>0.5980613333333333</x:v>
      </x:c>
      <x:c r="AK129" s="16" t="n">
        <x:f>IF(M129="Three Phase",V129/3,IF(N129="R",V129,0))</x:f>
        <x:v>0.20699271635233865</x:v>
      </x:c>
      <x:c r="AL129" s="16" t="n">
        <x:f>IF(M129="Three Phase",U129/3,IF(N129="Y",U129,0))</x:f>
        <x:v>0.5980613333333333</x:v>
      </x:c>
      <x:c r="AM129" s="16" t="n">
        <x:f>IF(M129="Three Phase",V129/3,IF(N129="Y",V129,0))</x:f>
        <x:v>0.20699271635233865</x:v>
      </x:c>
      <x:c r="AN129" s="16" t="n">
        <x:f>IF(M129="Three Phase",U129/3,IF(N129="B",U129,0))</x:f>
        <x:v>0.5980613333333333</x:v>
      </x:c>
      <x:c r="AO129" s="16" t="n">
        <x:f>IF(M129="Three Phase",V129/3,IF(N129="B",V129,0))</x:f>
        <x:v>0.20699271635233865</x:v>
      </x:c>
    </x:row>
    <x:row r="130">
      <x:c r="A130" s="13" t="str">
        <x:v>C0129</x:v>
      </x:c>
      <x:c r="B130" s="13" t="str">
        <x:v>DT-8</x:v>
      </x:c>
      <x:c r="C130" s="13" t="str">
        <x:v>Residential</x:v>
      </x:c>
      <x:c r="D130" s="16" t="n">
        <x:v>2</x:v>
      </x:c>
      <x:c r="E130" s="16" t="n">
        <x:v>0.501</x:v>
      </x:c>
      <x:c r="F130" s="16" t="n">
        <x:f>D130*E130</x:f>
        <x:v>1.002</x:v>
      </x:c>
      <x:c r="G130" s="16" t="n">
        <x:v>0.91</x:v>
      </x:c>
      <x:c r="H130" s="16" t="n">
        <x:f>F130/G130</x:f>
        <x:v>1.101098901098901</x:v>
      </x:c>
      <x:c r="I130" s="16" t="n">
        <x:v>0.863</x:v>
      </x:c>
      <x:c r="J130" s="16" t="n">
        <x:f>F130*I130</x:f>
        <x:v>0.864726</x:v>
      </x:c>
      <x:c r="K130" s="16" t="n">
        <x:f>J130*TAN(ACOS(G130))</x:f>
        <x:v>0.3939808050329474</x:v>
      </x:c>
      <x:c r="L130" s="16" t="n">
        <x:f>SQRT(J130^2+K130^2)</x:f>
        <x:v>0.9502483516483516</x:v>
      </x:c>
      <x:c r="M130" s="16" t="str">
        <x:v>Single Phase</x:v>
      </x:c>
      <x:c r="N130" s="16" t="str">
        <x:v>Y</x:v>
      </x:c>
      <x:c r="O130" s="16" t="str">
        <x:v>No</x:v>
      </x:c>
      <x:c r="P130" s="16" t="n">
        <x:v>0</x:v>
      </x:c>
      <x:c r="Q130" s="16" t="n">
        <x:v>0.462</x:v>
      </x:c>
      <x:c r="R130" s="16" t="n">
        <x:v>0</x:v>
      </x:c>
      <x:c r="S130" s="16" t="n">
        <x:f>F130*Q130</x:f>
        <x:v>0.462924</x:v>
      </x:c>
      <x:c r="T130" s="16" t="n">
        <x:f>IF(O130="Yes",P130*R130,0)</x:f>
        <x:v>0</x:v>
      </x:c>
      <x:c r="U130" s="16" t="n">
        <x:f>S130-T130</x:f>
        <x:v>0.462924</x:v>
      </x:c>
      <x:c r="V130" s="16" t="n">
        <x:f>S130*TAN(ACOS(G130))</x:f>
        <x:v>0.2109144054753438</x:v>
      </x:c>
      <x:c r="W130" s="16" t="n">
        <x:f>SQRT(U130^2+V130^2)</x:f>
        <x:v>0.5087076923076923</x:v>
      </x:c>
      <x:c r="X130" s="13" t="str">
        <x:v>No</x:v>
      </x:c>
      <x:c r="Y130" s="13" t="str"/>
      <x:c r="Z130" s="18" t="str"/>
      <x:c r="AA130" s="13" t="str"/>
      <x:c r="AB130" s="18" t="str"/>
      <x:c r="AC130" s="13" t="str">
        <x:v>No</x:v>
      </x:c>
      <x:c r="AD130" s="16" t="n">
        <x:f>IF(M130="Three Phase",J130/3,IF(N130="R",J130,0))</x:f>
        <x:v>0</x:v>
      </x:c>
      <x:c r="AE130" s="16" t="n">
        <x:f>IF(M130="Three Phase",K130/3,IF(N130="R",K130,0))</x:f>
        <x:v>0</x:v>
      </x:c>
      <x:c r="AF130" s="16" t="n">
        <x:f>IF(M130="Three Phase",J130/3,IF(N130="Y",J130,0))</x:f>
        <x:v>0.864726</x:v>
      </x:c>
      <x:c r="AG130" s="16" t="n">
        <x:f>IF(M130="Three Phase",K130/3,IF(N130="Y",K130,0))</x:f>
        <x:v>0.3939808050329474</x:v>
      </x:c>
      <x:c r="AH130" s="16" t="n">
        <x:f>IF(M130="Three Phase",J130/3,IF(N130="B",J130,0))</x:f>
        <x:v>0</x:v>
      </x:c>
      <x:c r="AI130" s="16" t="n">
        <x:f>IF(M130="Three Phase",K130/3,IF(N130="B",K130,0))</x:f>
        <x:v>0</x:v>
      </x:c>
      <x:c r="AJ130" s="16" t="n">
        <x:f>IF(M130="Three Phase",U130/3,IF(N130="R",U130,0))</x:f>
        <x:v>0</x:v>
      </x:c>
      <x:c r="AK130" s="16" t="n">
        <x:f>IF(M130="Three Phase",V130/3,IF(N130="R",V130,0))</x:f>
        <x:v>0</x:v>
      </x:c>
      <x:c r="AL130" s="16" t="n">
        <x:f>IF(M130="Three Phase",U130/3,IF(N130="Y",U130,0))</x:f>
        <x:v>0.462924</x:v>
      </x:c>
      <x:c r="AM130" s="16" t="n">
        <x:f>IF(M130="Three Phase",V130/3,IF(N130="Y",V130,0))</x:f>
        <x:v>0.2109144054753438</x:v>
      </x:c>
      <x:c r="AN130" s="16" t="n">
        <x:f>IF(M130="Three Phase",U130/3,IF(N130="B",U130,0))</x:f>
        <x:v>0</x:v>
      </x:c>
      <x:c r="AO130" s="16" t="n">
        <x:f>IF(M130="Three Phase",V130/3,IF(N130="B",V130,0))</x:f>
        <x:v>0</x:v>
      </x:c>
    </x:row>
    <x:row r="131">
      <x:c r="A131" s="13" t="str">
        <x:v>C0130</x:v>
      </x:c>
      <x:c r="B131" s="13" t="str">
        <x:v>DT-8</x:v>
      </x:c>
      <x:c r="C131" s="13" t="str">
        <x:v>Residential</x:v>
      </x:c>
      <x:c r="D131" s="16" t="n">
        <x:v>3</x:v>
      </x:c>
      <x:c r="E131" s="16" t="n">
        <x:v>0.484</x:v>
      </x:c>
      <x:c r="F131" s="16" t="n">
        <x:f>D131*E131</x:f>
        <x:v>1.452</x:v>
      </x:c>
      <x:c r="G131" s="16" t="n">
        <x:v>0.974</x:v>
      </x:c>
      <x:c r="H131" s="16" t="n">
        <x:f>F131/G131</x:f>
        <x:v>1.4907597535934292</x:v>
      </x:c>
      <x:c r="I131" s="16" t="n">
        <x:v>0.725</x:v>
      </x:c>
      <x:c r="J131" s="16" t="n">
        <x:f>F131*I131</x:f>
        <x:v>1.0527</x:v>
      </x:c>
      <x:c r="K131" s="16" t="n">
        <x:f>J131*TAN(ACOS(G131))</x:f>
        <x:v>0.24485327329270712</x:v>
      </x:c>
      <x:c r="L131" s="16" t="n">
        <x:f>SQRT(J131^2+K131^2)</x:f>
        <x:v>1.080800821355236</x:v>
      </x:c>
      <x:c r="M131" s="16" t="str">
        <x:v>Single Phase</x:v>
      </x:c>
      <x:c r="N131" s="16" t="str">
        <x:v>Y</x:v>
      </x:c>
      <x:c r="O131" s="16" t="str">
        <x:v>No</x:v>
      </x:c>
      <x:c r="P131" s="16" t="n">
        <x:v>0</x:v>
      </x:c>
      <x:c r="Q131" s="16" t="n">
        <x:v>0.246</x:v>
      </x:c>
      <x:c r="R131" s="16" t="n">
        <x:v>0</x:v>
      </x:c>
      <x:c r="S131" s="16" t="n">
        <x:f>F131*Q131</x:f>
        <x:v>0.357192</x:v>
      </x:c>
      <x:c r="T131" s="16" t="n">
        <x:f>IF(O131="Yes",P131*R131,0)</x:f>
        <x:v>0</x:v>
      </x:c>
      <x:c r="U131" s="16" t="n">
        <x:f>S131-T131</x:f>
        <x:v>0.357192</x:v>
      </x:c>
      <x:c r="V131" s="16" t="n">
        <x:f>S131*TAN(ACOS(G131))</x:f>
        <x:v>0.08308124859311165</x:v>
      </x:c>
      <x:c r="W131" s="16" t="n">
        <x:f>SQRT(U131^2+V131^2)</x:f>
        <x:v>0.36672689938398356</x:v>
      </x:c>
      <x:c r="X131" s="13" t="str">
        <x:v>No</x:v>
      </x:c>
      <x:c r="Y131" s="13" t="str"/>
      <x:c r="Z131" s="18" t="str"/>
      <x:c r="AA131" s="13" t="str"/>
      <x:c r="AB131" s="18" t="str"/>
      <x:c r="AC131" s="13" t="str">
        <x:v>Yes</x:v>
      </x:c>
      <x:c r="AD131" s="16" t="n">
        <x:f>IF(M131="Three Phase",J131/3,IF(N131="R",J131,0))</x:f>
        <x:v>0</x:v>
      </x:c>
      <x:c r="AE131" s="16" t="n">
        <x:f>IF(M131="Three Phase",K131/3,IF(N131="R",K131,0))</x:f>
        <x:v>0</x:v>
      </x:c>
      <x:c r="AF131" s="16" t="n">
        <x:f>IF(M131="Three Phase",J131/3,IF(N131="Y",J131,0))</x:f>
        <x:v>1.0527</x:v>
      </x:c>
      <x:c r="AG131" s="16" t="n">
        <x:f>IF(M131="Three Phase",K131/3,IF(N131="Y",K131,0))</x:f>
        <x:v>0.24485327329270712</x:v>
      </x:c>
      <x:c r="AH131" s="16" t="n">
        <x:f>IF(M131="Three Phase",J131/3,IF(N131="B",J131,0))</x:f>
        <x:v>0</x:v>
      </x:c>
      <x:c r="AI131" s="16" t="n">
        <x:f>IF(M131="Three Phase",K131/3,IF(N131="B",K131,0))</x:f>
        <x:v>0</x:v>
      </x:c>
      <x:c r="AJ131" s="16" t="n">
        <x:f>IF(M131="Three Phase",U131/3,IF(N131="R",U131,0))</x:f>
        <x:v>0</x:v>
      </x:c>
      <x:c r="AK131" s="16" t="n">
        <x:f>IF(M131="Three Phase",V131/3,IF(N131="R",V131,0))</x:f>
        <x:v>0</x:v>
      </x:c>
      <x:c r="AL131" s="16" t="n">
        <x:f>IF(M131="Three Phase",U131/3,IF(N131="Y",U131,0))</x:f>
        <x:v>0.357192</x:v>
      </x:c>
      <x:c r="AM131" s="16" t="n">
        <x:f>IF(M131="Three Phase",V131/3,IF(N131="Y",V131,0))</x:f>
        <x:v>0.08308124859311165</x:v>
      </x:c>
      <x:c r="AN131" s="16" t="n">
        <x:f>IF(M131="Three Phase",U131/3,IF(N131="B",U131,0))</x:f>
        <x:v>0</x:v>
      </x:c>
      <x:c r="AO131" s="16" t="n">
        <x:f>IF(M131="Three Phase",V131/3,IF(N131="B",V131,0))</x:f>
        <x:v>0</x:v>
      </x:c>
    </x:row>
    <x:row r="132">
      <x:c r="A132" s="13" t="str">
        <x:v>C0131</x:v>
      </x:c>
      <x:c r="B132" s="13" t="str">
        <x:v>DT-8</x:v>
      </x:c>
      <x:c r="C132" s="13" t="str">
        <x:v>Residential</x:v>
      </x:c>
      <x:c r="D132" s="16" t="n">
        <x:v>5</x:v>
      </x:c>
      <x:c r="E132" s="16" t="n">
        <x:v>0.542</x:v>
      </x:c>
      <x:c r="F132" s="16" t="n">
        <x:f>D132*E132</x:f>
        <x:v>2.71</x:v>
      </x:c>
      <x:c r="G132" s="16" t="n">
        <x:v>0.929</x:v>
      </x:c>
      <x:c r="H132" s="16" t="n">
        <x:f>F132/G132</x:f>
        <x:v>2.9171151776103335</x:v>
      </x:c>
      <x:c r="I132" s="16" t="n">
        <x:v>0.801</x:v>
      </x:c>
      <x:c r="J132" s="16" t="n">
        <x:f>F132*I132</x:f>
        <x:v>2.17071</x:v>
      </x:c>
      <x:c r="K132" s="16" t="n">
        <x:f>J132*TAN(ACOS(G132))</x:f>
        <x:v>0.864731702345065</x:v>
      </x:c>
      <x:c r="L132" s="16" t="n">
        <x:f>SQRT(J132^2+K132^2)</x:f>
        <x:v>2.336609257265877</x:v>
      </x:c>
      <x:c r="M132" s="16" t="str">
        <x:v>Single Phase</x:v>
      </x:c>
      <x:c r="N132" s="16" t="str">
        <x:v>B</x:v>
      </x:c>
      <x:c r="O132" s="16" t="str">
        <x:v>No</x:v>
      </x:c>
      <x:c r="P132" s="16" t="n">
        <x:v>0</x:v>
      </x:c>
      <x:c r="Q132" s="16" t="n">
        <x:v>0.446</x:v>
      </x:c>
      <x:c r="R132" s="16" t="n">
        <x:v>0</x:v>
      </x:c>
      <x:c r="S132" s="16" t="n">
        <x:f>F132*Q132</x:f>
        <x:v>1.20866</x:v>
      </x:c>
      <x:c r="T132" s="16" t="n">
        <x:f>IF(O132="Yes",P132*R132,0)</x:f>
        <x:v>0</x:v>
      </x:c>
      <x:c r="U132" s="16" t="n">
        <x:f>S132-T132</x:f>
        <x:v>1.20866</x:v>
      </x:c>
      <x:c r="V132" s="16" t="n">
        <x:f>S132*TAN(ACOS(G132))</x:f>
        <x:v>0.48148606647428094</x:v>
      </x:c>
      <x:c r="W132" s="16" t="n">
        <x:f>SQRT(U132^2+V132^2)</x:f>
        <x:v>1.3010333692142089</x:v>
      </x:c>
      <x:c r="X132" s="13" t="str">
        <x:v>Yes</x:v>
      </x:c>
      <x:c r="Y132" s="13" t="str">
        <x:v>DT-7</x:v>
      </x:c>
      <x:c r="Z132" s="18" t="n">
        <x:v>61</x:v>
      </x:c>
      <x:c r="AA132" s="13" t="str">
        <x:v>DT-6</x:v>
      </x:c>
      <x:c r="AB132" s="18" t="n">
        <x:v>64</x:v>
      </x:c>
      <x:c r="AC132" s="13" t="str">
        <x:v>No</x:v>
      </x:c>
      <x:c r="AD132" s="16" t="n">
        <x:f>IF(M132="Three Phase",J132/3,IF(N132="R",J132,0))</x:f>
        <x:v>0</x:v>
      </x:c>
      <x:c r="AE132" s="16" t="n">
        <x:f>IF(M132="Three Phase",K132/3,IF(N132="R",K132,0))</x:f>
        <x:v>0</x:v>
      </x:c>
      <x:c r="AF132" s="16" t="n">
        <x:f>IF(M132="Three Phase",J132/3,IF(N132="Y",J132,0))</x:f>
        <x:v>0</x:v>
      </x:c>
      <x:c r="AG132" s="16" t="n">
        <x:f>IF(M132="Three Phase",K132/3,IF(N132="Y",K132,0))</x:f>
        <x:v>0</x:v>
      </x:c>
      <x:c r="AH132" s="16" t="n">
        <x:f>IF(M132="Three Phase",J132/3,IF(N132="B",J132,0))</x:f>
        <x:v>2.17071</x:v>
      </x:c>
      <x:c r="AI132" s="16" t="n">
        <x:f>IF(M132="Three Phase",K132/3,IF(N132="B",K132,0))</x:f>
        <x:v>0.864731702345065</x:v>
      </x:c>
      <x:c r="AJ132" s="16" t="n">
        <x:f>IF(M132="Three Phase",U132/3,IF(N132="R",U132,0))</x:f>
        <x:v>0</x:v>
      </x:c>
      <x:c r="AK132" s="16" t="n">
        <x:f>IF(M132="Three Phase",V132/3,IF(N132="R",V132,0))</x:f>
        <x:v>0</x:v>
      </x:c>
      <x:c r="AL132" s="16" t="n">
        <x:f>IF(M132="Three Phase",U132/3,IF(N132="Y",U132,0))</x:f>
        <x:v>0</x:v>
      </x:c>
      <x:c r="AM132" s="16" t="n">
        <x:f>IF(M132="Three Phase",V132/3,IF(N132="Y",V132,0))</x:f>
        <x:v>0</x:v>
      </x:c>
      <x:c r="AN132" s="16" t="n">
        <x:f>IF(M132="Three Phase",U132/3,IF(N132="B",U132,0))</x:f>
        <x:v>1.20866</x:v>
      </x:c>
      <x:c r="AO132" s="16" t="n">
        <x:f>IF(M132="Three Phase",V132/3,IF(N132="B",V132,0))</x:f>
        <x:v>0.48148606647428094</x:v>
      </x:c>
    </x:row>
    <x:row r="133">
      <x:c r="A133" s="13" t="str">
        <x:v>C0132</x:v>
      </x:c>
      <x:c r="B133" s="13" t="str">
        <x:v>DT-8</x:v>
      </x:c>
      <x:c r="C133" s="13" t="str">
        <x:v>Residential</x:v>
      </x:c>
      <x:c r="D133" s="16" t="n">
        <x:v>4.5</x:v>
      </x:c>
      <x:c r="E133" s="16" t="n">
        <x:v>0.713</x:v>
      </x:c>
      <x:c r="F133" s="16" t="n">
        <x:f>D133*E133</x:f>
        <x:v>3.2085</x:v>
      </x:c>
      <x:c r="G133" s="16" t="n">
        <x:v>0.939</x:v>
      </x:c>
      <x:c r="H133" s="16" t="n">
        <x:f>F133/G133</x:f>
        <x:v>3.416932907348243</x:v>
      </x:c>
      <x:c r="I133" s="16" t="n">
        <x:v>0.76</x:v>
      </x:c>
      <x:c r="J133" s="16" t="n">
        <x:f>F133*I133</x:f>
        <x:v>2.43846</x:v>
      </x:c>
      <x:c r="K133" s="16" t="n">
        <x:f>J133*TAN(ACOS(G133))</x:f>
        <x:v>0.8931077658050217</x:v>
      </x:c>
      <x:c r="L133" s="16" t="n">
        <x:f>SQRT(J133^2+K133^2)</x:f>
        <x:v>2.596869009584665</x:v>
      </x:c>
      <x:c r="M133" s="16" t="str">
        <x:v>Single Phase</x:v>
      </x:c>
      <x:c r="N133" s="16" t="str">
        <x:v>R</x:v>
      </x:c>
      <x:c r="O133" s="16" t="str">
        <x:v>No</x:v>
      </x:c>
      <x:c r="P133" s="16" t="n">
        <x:v>0</x:v>
      </x:c>
      <x:c r="Q133" s="16" t="n">
        <x:v>0.45</x:v>
      </x:c>
      <x:c r="R133" s="16" t="n">
        <x:v>0</x:v>
      </x:c>
      <x:c r="S133" s="16" t="n">
        <x:f>F133*Q133</x:f>
        <x:v>1.443825</x:v>
      </x:c>
      <x:c r="T133" s="16" t="n">
        <x:f>IF(O133="Yes",P133*R133,0)</x:f>
        <x:v>0</x:v>
      </x:c>
      <x:c r="U133" s="16" t="n">
        <x:f>S133-T133</x:f>
        <x:v>1.443825</x:v>
      </x:c>
      <x:c r="V133" s="16" t="n">
        <x:f>S133*TAN(ACOS(G133))</x:f>
        <x:v>0.5288138087003418</x:v>
      </x:c>
      <x:c r="W133" s="16" t="n">
        <x:f>SQRT(U133^2+V133^2)</x:f>
        <x:v>1.5376198083067092</x:v>
      </x:c>
      <x:c r="X133" s="13" t="str">
        <x:v>No</x:v>
      </x:c>
      <x:c r="Y133" s="13" t="str"/>
      <x:c r="Z133" s="18" t="str"/>
      <x:c r="AA133" s="13" t="str"/>
      <x:c r="AB133" s="18" t="str"/>
      <x:c r="AC133" s="13" t="str">
        <x:v>Yes</x:v>
      </x:c>
      <x:c r="AD133" s="16" t="n">
        <x:f>IF(M133="Three Phase",J133/3,IF(N133="R",J133,0))</x:f>
        <x:v>2.43846</x:v>
      </x:c>
      <x:c r="AE133" s="16" t="n">
        <x:f>IF(M133="Three Phase",K133/3,IF(N133="R",K133,0))</x:f>
        <x:v>0.8931077658050217</x:v>
      </x:c>
      <x:c r="AF133" s="16" t="n">
        <x:f>IF(M133="Three Phase",J133/3,IF(N133="Y",J133,0))</x:f>
        <x:v>0</x:v>
      </x:c>
      <x:c r="AG133" s="16" t="n">
        <x:f>IF(M133="Three Phase",K133/3,IF(N133="Y",K133,0))</x:f>
        <x:v>0</x:v>
      </x:c>
      <x:c r="AH133" s="16" t="n">
        <x:f>IF(M133="Three Phase",J133/3,IF(N133="B",J133,0))</x:f>
        <x:v>0</x:v>
      </x:c>
      <x:c r="AI133" s="16" t="n">
        <x:f>IF(M133="Three Phase",K133/3,IF(N133="B",K133,0))</x:f>
        <x:v>0</x:v>
      </x:c>
      <x:c r="AJ133" s="16" t="n">
        <x:f>IF(M133="Three Phase",U133/3,IF(N133="R",U133,0))</x:f>
        <x:v>1.443825</x:v>
      </x:c>
      <x:c r="AK133" s="16" t="n">
        <x:f>IF(M133="Three Phase",V133/3,IF(N133="R",V133,0))</x:f>
        <x:v>0.5288138087003418</x:v>
      </x:c>
      <x:c r="AL133" s="16" t="n">
        <x:f>IF(M133="Three Phase",U133/3,IF(N133="Y",U133,0))</x:f>
        <x:v>0</x:v>
      </x:c>
      <x:c r="AM133" s="16" t="n">
        <x:f>IF(M133="Three Phase",V133/3,IF(N133="Y",V133,0))</x:f>
        <x:v>0</x:v>
      </x:c>
      <x:c r="AN133" s="16" t="n">
        <x:f>IF(M133="Three Phase",U133/3,IF(N133="B",U133,0))</x:f>
        <x:v>0</x:v>
      </x:c>
      <x:c r="AO133" s="16" t="n">
        <x:f>IF(M133="Three Phase",V133/3,IF(N133="B",V133,0))</x:f>
        <x:v>0</x:v>
      </x:c>
    </x:row>
    <x:row r="134">
      <x:c r="A134" s="13" t="str">
        <x:v>C0133</x:v>
      </x:c>
      <x:c r="B134" s="13" t="str">
        <x:v>DT-8</x:v>
      </x:c>
      <x:c r="C134" s="13" t="str">
        <x:v>Commercial</x:v>
      </x:c>
      <x:c r="D134" s="16" t="n">
        <x:v>6.5</x:v>
      </x:c>
      <x:c r="E134" s="16" t="n">
        <x:v>0.515</x:v>
      </x:c>
      <x:c r="F134" s="16" t="n">
        <x:f>D134*E134</x:f>
        <x:v>3.3475</x:v>
      </x:c>
      <x:c r="G134" s="16" t="n">
        <x:v>0.914</x:v>
      </x:c>
      <x:c r="H134" s="16" t="n">
        <x:f>F134/G134</x:f>
        <x:v>3.662472647702407</x:v>
      </x:c>
      <x:c r="I134" s="16" t="n">
        <x:v>0.753</x:v>
      </x:c>
      <x:c r="J134" s="16" t="n">
        <x:f>F134*I134</x:f>
        <x:v>2.5206675</x:v>
      </x:c>
      <x:c r="K134" s="16" t="n">
        <x:f>J134*TAN(ACOS(G134))</x:f>
        <x:v>1.1188955806317318</x:v>
      </x:c>
      <x:c r="L134" s="16" t="n">
        <x:f>SQRT(J134^2+K134^2)</x:f>
        <x:v>2.7578419037199122</x:v>
      </x:c>
      <x:c r="M134" s="16" t="str">
        <x:v>Three Phase</x:v>
      </x:c>
      <x:c r="N134" s="16" t="str">
        <x:v>RYB</x:v>
      </x:c>
      <x:c r="O134" s="16" t="str">
        <x:v>No</x:v>
      </x:c>
      <x:c r="P134" s="16" t="n">
        <x:v>0</x:v>
      </x:c>
      <x:c r="Q134" s="16" t="n">
        <x:v>0.743</x:v>
      </x:c>
      <x:c r="R134" s="16" t="n">
        <x:v>0</x:v>
      </x:c>
      <x:c r="S134" s="16" t="n">
        <x:f>F134*Q134</x:f>
        <x:v>2.4871925</x:v>
      </x:c>
      <x:c r="T134" s="16" t="n">
        <x:f>IF(O134="Yes",P134*R134,0)</x:f>
        <x:v>0</x:v>
      </x:c>
      <x:c r="U134" s="16" t="n">
        <x:f>S134-T134</x:f>
        <x:v>2.4871925</x:v>
      </x:c>
      <x:c r="V134" s="16" t="n">
        <x:f>S134*TAN(ACOS(G134))</x:f>
        <x:v>1.1040364095742055</x:v>
      </x:c>
      <x:c r="W134" s="16" t="n">
        <x:f>SQRT(U134^2+V134^2)</x:f>
        <x:v>2.721217177242888</x:v>
      </x:c>
      <x:c r="X134" s="13" t="str">
        <x:v>No</x:v>
      </x:c>
      <x:c r="Y134" s="13" t="str"/>
      <x:c r="Z134" s="18" t="str"/>
      <x:c r="AA134" s="13" t="str"/>
      <x:c r="AB134" s="18" t="str"/>
      <x:c r="AC134" s="13" t="str">
        <x:v>No</x:v>
      </x:c>
      <x:c r="AD134" s="16" t="n">
        <x:f>IF(M134="Three Phase",J134/3,IF(N134="R",J134,0))</x:f>
        <x:v>0.8402225</x:v>
      </x:c>
      <x:c r="AE134" s="16" t="n">
        <x:f>IF(M134="Three Phase",K134/3,IF(N134="R",K134,0))</x:f>
        <x:v>0.3729651935439106</x:v>
      </x:c>
      <x:c r="AF134" s="16" t="n">
        <x:f>IF(M134="Three Phase",J134/3,IF(N134="Y",J134,0))</x:f>
        <x:v>0.8402225</x:v>
      </x:c>
      <x:c r="AG134" s="16" t="n">
        <x:f>IF(M134="Three Phase",K134/3,IF(N134="Y",K134,0))</x:f>
        <x:v>0.3729651935439106</x:v>
      </x:c>
      <x:c r="AH134" s="16" t="n">
        <x:f>IF(M134="Three Phase",J134/3,IF(N134="B",J134,0))</x:f>
        <x:v>0.8402225</x:v>
      </x:c>
      <x:c r="AI134" s="16" t="n">
        <x:f>IF(M134="Three Phase",K134/3,IF(N134="B",K134,0))</x:f>
        <x:v>0.3729651935439106</x:v>
      </x:c>
      <x:c r="AJ134" s="16" t="n">
        <x:f>IF(M134="Three Phase",U134/3,IF(N134="R",U134,0))</x:f>
        <x:v>0.8290641666666666</x:v>
      </x:c>
      <x:c r="AK134" s="16" t="n">
        <x:f>IF(M134="Three Phase",V134/3,IF(N134="R",V134,0))</x:f>
        <x:v>0.36801213652473513</x:v>
      </x:c>
      <x:c r="AL134" s="16" t="n">
        <x:f>IF(M134="Three Phase",U134/3,IF(N134="Y",U134,0))</x:f>
        <x:v>0.8290641666666666</x:v>
      </x:c>
      <x:c r="AM134" s="16" t="n">
        <x:f>IF(M134="Three Phase",V134/3,IF(N134="Y",V134,0))</x:f>
        <x:v>0.36801213652473513</x:v>
      </x:c>
      <x:c r="AN134" s="16" t="n">
        <x:f>IF(M134="Three Phase",U134/3,IF(N134="B",U134,0))</x:f>
        <x:v>0.8290641666666666</x:v>
      </x:c>
      <x:c r="AO134" s="16" t="n">
        <x:f>IF(M134="Three Phase",V134/3,IF(N134="B",V134,0))</x:f>
        <x:v>0.36801213652473513</x:v>
      </x:c>
    </x:row>
    <x:row r="135">
      <x:c r="A135" s="13" t="str">
        <x:v>C0134</x:v>
      </x:c>
      <x:c r="B135" s="13" t="str">
        <x:v>DT-8</x:v>
      </x:c>
      <x:c r="C135" s="13" t="str">
        <x:v>Residential</x:v>
      </x:c>
      <x:c r="D135" s="16" t="n">
        <x:v>3.5</x:v>
      </x:c>
      <x:c r="E135" s="16" t="n">
        <x:v>0.797</x:v>
      </x:c>
      <x:c r="F135" s="16" t="n">
        <x:f>D135*E135</x:f>
        <x:v>2.7895000000000003</x:v>
      </x:c>
      <x:c r="G135" s="16" t="n">
        <x:v>0.982</x:v>
      </x:c>
      <x:c r="H135" s="16" t="n">
        <x:f>F135/G135</x:f>
        <x:v>2.8406313645621184</x:v>
      </x:c>
      <x:c r="I135" s="16" t="n">
        <x:v>0.817</x:v>
      </x:c>
      <x:c r="J135" s="16" t="n">
        <x:f>F135*I135</x:f>
        <x:v>2.2790215000000003</x:v>
      </x:c>
      <x:c r="K135" s="16" t="n">
        <x:f>J135*TAN(ACOS(G135))</x:f>
        <x:v>0.43835403861055056</x:v>
      </x:c>
      <x:c r="L135" s="16" t="n">
        <x:f>SQRT(J135^2+K135^2)</x:f>
        <x:v>2.320795824847251</x:v>
      </x:c>
      <x:c r="M135" s="16" t="str">
        <x:v>Single Phase</x:v>
      </x:c>
      <x:c r="N135" s="16" t="str">
        <x:v>Y</x:v>
      </x:c>
      <x:c r="O135" s="16" t="str">
        <x:v>No</x:v>
      </x:c>
      <x:c r="P135" s="16" t="n">
        <x:v>0</x:v>
      </x:c>
      <x:c r="Q135" s="16" t="n">
        <x:v>0.345</x:v>
      </x:c>
      <x:c r="R135" s="16" t="n">
        <x:v>0</x:v>
      </x:c>
      <x:c r="S135" s="16" t="n">
        <x:f>F135*Q135</x:f>
        <x:v>0.9623775</x:v>
      </x:c>
      <x:c r="T135" s="16" t="n">
        <x:f>IF(O135="Yes",P135*R135,0)</x:f>
        <x:v>0</x:v>
      </x:c>
      <x:c r="U135" s="16" t="n">
        <x:f>S135-T135</x:f>
        <x:v>0.9623775</x:v>
      </x:c>
      <x:c r="V135" s="16" t="n">
        <x:f>S135*TAN(ACOS(G135))</x:f>
        <x:v>0.1851066625711627</x:v>
      </x:c>
      <x:c r="W135" s="16" t="n">
        <x:f>SQRT(U135^2+V135^2)</x:f>
        <x:v>0.9800178207739307</x:v>
      </x:c>
      <x:c r="X135" s="13" t="str">
        <x:v>Yes</x:v>
      </x:c>
      <x:c r="Y135" s="13" t="str">
        <x:v>DT-7</x:v>
      </x:c>
      <x:c r="Z135" s="18" t="n">
        <x:v>65</x:v>
      </x:c>
      <x:c r="AA135" s="13" t="str"/>
      <x:c r="AB135" s="18" t="str"/>
      <x:c r="AC135" s="13" t="str">
        <x:v>Yes</x:v>
      </x:c>
      <x:c r="AD135" s="16" t="n">
        <x:f>IF(M135="Three Phase",J135/3,IF(N135="R",J135,0))</x:f>
        <x:v>0</x:v>
      </x:c>
      <x:c r="AE135" s="16" t="n">
        <x:f>IF(M135="Three Phase",K135/3,IF(N135="R",K135,0))</x:f>
        <x:v>0</x:v>
      </x:c>
      <x:c r="AF135" s="16" t="n">
        <x:f>IF(M135="Three Phase",J135/3,IF(N135="Y",J135,0))</x:f>
        <x:v>2.2790215000000003</x:v>
      </x:c>
      <x:c r="AG135" s="16" t="n">
        <x:f>IF(M135="Three Phase",K135/3,IF(N135="Y",K135,0))</x:f>
        <x:v>0.43835403861055056</x:v>
      </x:c>
      <x:c r="AH135" s="16" t="n">
        <x:f>IF(M135="Three Phase",J135/3,IF(N135="B",J135,0))</x:f>
        <x:v>0</x:v>
      </x:c>
      <x:c r="AI135" s="16" t="n">
        <x:f>IF(M135="Three Phase",K135/3,IF(N135="B",K135,0))</x:f>
        <x:v>0</x:v>
      </x:c>
      <x:c r="AJ135" s="16" t="n">
        <x:f>IF(M135="Three Phase",U135/3,IF(N135="R",U135,0))</x:f>
        <x:v>0</x:v>
      </x:c>
      <x:c r="AK135" s="16" t="n">
        <x:f>IF(M135="Three Phase",V135/3,IF(N135="R",V135,0))</x:f>
        <x:v>0</x:v>
      </x:c>
      <x:c r="AL135" s="16" t="n">
        <x:f>IF(M135="Three Phase",U135/3,IF(N135="Y",U135,0))</x:f>
        <x:v>0.9623775</x:v>
      </x:c>
      <x:c r="AM135" s="16" t="n">
        <x:f>IF(M135="Three Phase",V135/3,IF(N135="Y",V135,0))</x:f>
        <x:v>0.1851066625711627</x:v>
      </x:c>
      <x:c r="AN135" s="16" t="n">
        <x:f>IF(M135="Three Phase",U135/3,IF(N135="B",U135,0))</x:f>
        <x:v>0</x:v>
      </x:c>
      <x:c r="AO135" s="16" t="n">
        <x:f>IF(M135="Three Phase",V135/3,IF(N135="B",V135,0))</x:f>
        <x:v>0</x:v>
      </x:c>
    </x:row>
    <x:row r="136">
      <x:c r="A136" s="13" t="str">
        <x:v>C0135</x:v>
      </x:c>
      <x:c r="B136" s="13" t="str">
        <x:v>DT-8</x:v>
      </x:c>
      <x:c r="C136" s="13" t="str">
        <x:v>Residential</x:v>
      </x:c>
      <x:c r="D136" s="16" t="n">
        <x:v>5</x:v>
      </x:c>
      <x:c r="E136" s="16" t="n">
        <x:v>0.778</x:v>
      </x:c>
      <x:c r="F136" s="16" t="n">
        <x:f>D136*E136</x:f>
        <x:v>3.89</x:v>
      </x:c>
      <x:c r="G136" s="16" t="n">
        <x:v>0.989</x:v>
      </x:c>
      <x:c r="H136" s="16" t="n">
        <x:f>F136/G136</x:f>
        <x:v>3.9332659251769466</x:v>
      </x:c>
      <x:c r="I136" s="16" t="n">
        <x:v>0.93</x:v>
      </x:c>
      <x:c r="J136" s="16" t="n">
        <x:f>F136*I136</x:f>
        <x:v>3.6177</x:v>
      </x:c>
      <x:c r="K136" s="16" t="n">
        <x:f>J136*TAN(ACOS(G136))</x:f>
        <x:v>0.5410656863292169</x:v>
      </x:c>
      <x:c r="L136" s="16" t="n">
        <x:f>SQRT(J136^2+K136^2)</x:f>
        <x:v>3.6579373104145603</x:v>
      </x:c>
      <x:c r="M136" s="16" t="str">
        <x:v>Single Phase</x:v>
      </x:c>
      <x:c r="N136" s="16" t="str">
        <x:v>B</x:v>
      </x:c>
      <x:c r="O136" s="16" t="str">
        <x:v>No</x:v>
      </x:c>
      <x:c r="P136" s="16" t="n">
        <x:v>0</x:v>
      </x:c>
      <x:c r="Q136" s="16" t="n">
        <x:v>0.25</x:v>
      </x:c>
      <x:c r="R136" s="16" t="n">
        <x:v>0</x:v>
      </x:c>
      <x:c r="S136" s="16" t="n">
        <x:f>F136*Q136</x:f>
        <x:v>0.9725</x:v>
      </x:c>
      <x:c r="T136" s="16" t="n">
        <x:f>IF(O136="Yes",P136*R136,0)</x:f>
        <x:v>0</x:v>
      </x:c>
      <x:c r="U136" s="16" t="n">
        <x:f>S136-T136</x:f>
        <x:v>0.9725</x:v>
      </x:c>
      <x:c r="V136" s="16" t="n">
        <x:f>S136*TAN(ACOS(G136))</x:f>
        <x:v>0.14544776514226262</x:v>
      </x:c>
      <x:c r="W136" s="16" t="n">
        <x:f>SQRT(U136^2+V136^2)</x:f>
        <x:v>0.9833164812942367</x:v>
      </x:c>
      <x:c r="X136" s="13" t="str">
        <x:v>Yes</x:v>
      </x:c>
      <x:c r="Y136" s="13" t="str">
        <x:v>DT-6</x:v>
      </x:c>
      <x:c r="Z136" s="18" t="n">
        <x:v>66</x:v>
      </x:c>
      <x:c r="AA136" s="13" t="str"/>
      <x:c r="AB136" s="18" t="str"/>
      <x:c r="AC136" s="13" t="str">
        <x:v>Yes</x:v>
      </x:c>
      <x:c r="AD136" s="16" t="n">
        <x:f>IF(M136="Three Phase",J136/3,IF(N136="R",J136,0))</x:f>
        <x:v>0</x:v>
      </x:c>
      <x:c r="AE136" s="16" t="n">
        <x:f>IF(M136="Three Phase",K136/3,IF(N136="R",K136,0))</x:f>
        <x:v>0</x:v>
      </x:c>
      <x:c r="AF136" s="16" t="n">
        <x:f>IF(M136="Three Phase",J136/3,IF(N136="Y",J136,0))</x:f>
        <x:v>0</x:v>
      </x:c>
      <x:c r="AG136" s="16" t="n">
        <x:f>IF(M136="Three Phase",K136/3,IF(N136="Y",K136,0))</x:f>
        <x:v>0</x:v>
      </x:c>
      <x:c r="AH136" s="16" t="n">
        <x:f>IF(M136="Three Phase",J136/3,IF(N136="B",J136,0))</x:f>
        <x:v>3.6177</x:v>
      </x:c>
      <x:c r="AI136" s="16" t="n">
        <x:f>IF(M136="Three Phase",K136/3,IF(N136="B",K136,0))</x:f>
        <x:v>0.5410656863292169</x:v>
      </x:c>
      <x:c r="AJ136" s="16" t="n">
        <x:f>IF(M136="Three Phase",U136/3,IF(N136="R",U136,0))</x:f>
        <x:v>0</x:v>
      </x:c>
      <x:c r="AK136" s="16" t="n">
        <x:f>IF(M136="Three Phase",V136/3,IF(N136="R",V136,0))</x:f>
        <x:v>0</x:v>
      </x:c>
      <x:c r="AL136" s="16" t="n">
        <x:f>IF(M136="Three Phase",U136/3,IF(N136="Y",U136,0))</x:f>
        <x:v>0</x:v>
      </x:c>
      <x:c r="AM136" s="16" t="n">
        <x:f>IF(M136="Three Phase",V136/3,IF(N136="Y",V136,0))</x:f>
        <x:v>0</x:v>
      </x:c>
      <x:c r="AN136" s="16" t="n">
        <x:f>IF(M136="Three Phase",U136/3,IF(N136="B",U136,0))</x:f>
        <x:v>0.9725</x:v>
      </x:c>
      <x:c r="AO136" s="16" t="n">
        <x:f>IF(M136="Three Phase",V136/3,IF(N136="B",V136,0))</x:f>
        <x:v>0.14544776514226262</x:v>
      </x:c>
    </x:row>
    <x:row r="137">
      <x:c r="A137" s="13" t="str">
        <x:v>C0136</x:v>
      </x:c>
      <x:c r="B137" s="13" t="str">
        <x:v>DT-8</x:v>
      </x:c>
      <x:c r="C137" s="13" t="str">
        <x:v>Commercial</x:v>
      </x:c>
      <x:c r="D137" s="16" t="n">
        <x:v>10</x:v>
      </x:c>
      <x:c r="E137" s="16" t="n">
        <x:v>0.555</x:v>
      </x:c>
      <x:c r="F137" s="16" t="n">
        <x:f>D137*E137</x:f>
        <x:v>5.550000000000001</x:v>
      </x:c>
      <x:c r="G137" s="16" t="n">
        <x:v>0.931</x:v>
      </x:c>
      <x:c r="H137" s="16" t="n">
        <x:f>F137/G137</x:f>
        <x:v>5.961331901181525</x:v>
      </x:c>
      <x:c r="I137" s="16" t="n">
        <x:v>0.766</x:v>
      </x:c>
      <x:c r="J137" s="16" t="n">
        <x:f>F137*I137</x:f>
        <x:v>4.2513000000000005</x:v>
      </x:c>
      <x:c r="K137" s="16" t="n">
        <x:f>J137*TAN(ACOS(G137))</x:f>
        <x:v>1.666816358366256</x:v>
      </x:c>
      <x:c r="L137" s="16" t="n">
        <x:f>SQRT(J137^2+K137^2)</x:f>
        <x:v>4.566380236305049</x:v>
      </x:c>
      <x:c r="M137" s="16" t="str">
        <x:v>Three Phase</x:v>
      </x:c>
      <x:c r="N137" s="16" t="str">
        <x:v>RYB</x:v>
      </x:c>
      <x:c r="O137" s="16" t="str">
        <x:v>No</x:v>
      </x:c>
      <x:c r="P137" s="16" t="n">
        <x:v>0</x:v>
      </x:c>
      <x:c r="Q137" s="16" t="n">
        <x:v>0.643</x:v>
      </x:c>
      <x:c r="R137" s="16" t="n">
        <x:v>0</x:v>
      </x:c>
      <x:c r="S137" s="16" t="n">
        <x:f>F137*Q137</x:f>
        <x:v>3.5686500000000008</x:v>
      </x:c>
      <x:c r="T137" s="16" t="n">
        <x:f>IF(O137="Yes",P137*R137,0)</x:f>
        <x:v>0</x:v>
      </x:c>
      <x:c r="U137" s="16" t="n">
        <x:f>S137-T137</x:f>
        <x:v>3.5686500000000008</x:v>
      </x:c>
      <x:c r="V137" s="16" t="n">
        <x:f>S137*TAN(ACOS(G137))</x:f>
        <x:v>1.3991683008218052</x:v>
      </x:c>
      <x:c r="W137" s="16" t="n">
        <x:f>SQRT(U137^2+V137^2)</x:f>
        <x:v>3.833136412459721</x:v>
      </x:c>
      <x:c r="X137" s="13" t="str">
        <x:v>No</x:v>
      </x:c>
      <x:c r="Y137" s="13" t="str"/>
      <x:c r="Z137" s="18" t="str"/>
      <x:c r="AA137" s="13" t="str"/>
      <x:c r="AB137" s="18" t="str"/>
      <x:c r="AC137" s="13" t="str">
        <x:v>No</x:v>
      </x:c>
      <x:c r="AD137" s="16" t="n">
        <x:f>IF(M137="Three Phase",J137/3,IF(N137="R",J137,0))</x:f>
        <x:v>1.4171000000000002</x:v>
      </x:c>
      <x:c r="AE137" s="16" t="n">
        <x:f>IF(M137="Three Phase",K137/3,IF(N137="R",K137,0))</x:f>
        <x:v>0.5556054527887521</x:v>
      </x:c>
      <x:c r="AF137" s="16" t="n">
        <x:f>IF(M137="Three Phase",J137/3,IF(N137="Y",J137,0))</x:f>
        <x:v>1.4171000000000002</x:v>
      </x:c>
      <x:c r="AG137" s="16" t="n">
        <x:f>IF(M137="Three Phase",K137/3,IF(N137="Y",K137,0))</x:f>
        <x:v>0.5556054527887521</x:v>
      </x:c>
      <x:c r="AH137" s="16" t="n">
        <x:f>IF(M137="Three Phase",J137/3,IF(N137="B",J137,0))</x:f>
        <x:v>1.4171000000000002</x:v>
      </x:c>
      <x:c r="AI137" s="16" t="n">
        <x:f>IF(M137="Three Phase",K137/3,IF(N137="B",K137,0))</x:f>
        <x:v>0.5556054527887521</x:v>
      </x:c>
      <x:c r="AJ137" s="16" t="n">
        <x:f>IF(M137="Three Phase",U137/3,IF(N137="R",U137,0))</x:f>
        <x:v>1.1895500000000003</x:v>
      </x:c>
      <x:c r="AK137" s="16" t="n">
        <x:f>IF(M137="Three Phase",V137/3,IF(N137="R",V137,0))</x:f>
        <x:v>0.4663894336072684</x:v>
      </x:c>
      <x:c r="AL137" s="16" t="n">
        <x:f>IF(M137="Three Phase",U137/3,IF(N137="Y",U137,0))</x:f>
        <x:v>1.1895500000000003</x:v>
      </x:c>
      <x:c r="AM137" s="16" t="n">
        <x:f>IF(M137="Three Phase",V137/3,IF(N137="Y",V137,0))</x:f>
        <x:v>0.4663894336072684</x:v>
      </x:c>
      <x:c r="AN137" s="16" t="n">
        <x:f>IF(M137="Three Phase",U137/3,IF(N137="B",U137,0))</x:f>
        <x:v>1.1895500000000003</x:v>
      </x:c>
      <x:c r="AO137" s="16" t="n">
        <x:f>IF(M137="Three Phase",V137/3,IF(N137="B",V137,0))</x:f>
        <x:v>0.4663894336072684</x:v>
      </x:c>
    </x:row>
    <x:row r="138">
      <x:c r="A138" s="13" t="str">
        <x:v>C0137</x:v>
      </x:c>
      <x:c r="B138" s="13" t="str">
        <x:v>DT-8</x:v>
      </x:c>
      <x:c r="C138" s="13" t="str">
        <x:v>Residential</x:v>
      </x:c>
      <x:c r="D138" s="16" t="n">
        <x:v>4.5</x:v>
      </x:c>
      <x:c r="E138" s="16" t="n">
        <x:v>0.414</x:v>
      </x:c>
      <x:c r="F138" s="16" t="n">
        <x:f>D138*E138</x:f>
        <x:v>1.863</x:v>
      </x:c>
      <x:c r="G138" s="16" t="n">
        <x:v>0.985</x:v>
      </x:c>
      <x:c r="H138" s="16" t="n">
        <x:f>F138/G138</x:f>
        <x:v>1.8913705583756346</x:v>
      </x:c>
      <x:c r="I138" s="16" t="n">
        <x:v>0.749</x:v>
      </x:c>
      <x:c r="J138" s="16" t="n">
        <x:f>F138*I138</x:f>
        <x:v>1.395387</x:v>
      </x:c>
      <x:c r="K138" s="16" t="n">
        <x:f>J138*TAN(ACOS(G138))</x:f>
        <x:v>0.24444678356069366</x:v>
      </x:c>
      <x:c r="L138" s="16" t="n">
        <x:f>SQRT(J138^2+K138^2)</x:f>
        <x:v>1.4166365482233503</x:v>
      </x:c>
      <x:c r="M138" s="16" t="str">
        <x:v>Single Phase</x:v>
      </x:c>
      <x:c r="N138" s="16" t="str">
        <x:v>R</x:v>
      </x:c>
      <x:c r="O138" s="16" t="str">
        <x:v>Yes</x:v>
      </x:c>
      <x:c r="P138" s="16" t="n">
        <x:v>1.5</x:v>
      </x:c>
      <x:c r="Q138" s="16" t="n">
        <x:v>0.456</x:v>
      </x:c>
      <x:c r="R138" s="16" t="n">
        <x:v>0.78</x:v>
      </x:c>
      <x:c r="S138" s="16" t="n">
        <x:f>F138*Q138</x:f>
        <x:v>0.8495280000000001</x:v>
      </x:c>
      <x:c r="T138" s="16" t="n">
        <x:f>IF(O138="Yes",P138*R138,0)</x:f>
        <x:v>1.17</x:v>
      </x:c>
      <x:c r="U138" s="16" t="n">
        <x:f>S138-T138</x:f>
        <x:v>-0.32047199999999987</x:v>
      </x:c>
      <x:c r="V138" s="16" t="n">
        <x:f>S138*TAN(ACOS(G138))</x:f>
        <x:v>0.148822073836684</x:v>
      </x:c>
      <x:c r="W138" s="16" t="n">
        <x:f>SQRT(U138^2+V138^2)</x:f>
        <x:v>0.3533416370102048</x:v>
      </x:c>
      <x:c r="X138" s="13" t="str">
        <x:v>No</x:v>
      </x:c>
      <x:c r="Y138" s="13" t="str"/>
      <x:c r="Z138" s="18" t="str"/>
      <x:c r="AA138" s="13" t="str"/>
      <x:c r="AB138" s="18" t="str"/>
      <x:c r="AC138" s="13" t="str">
        <x:v>Yes</x:v>
      </x:c>
      <x:c r="AD138" s="16" t="n">
        <x:f>IF(M138="Three Phase",J138/3,IF(N138="R",J138,0))</x:f>
        <x:v>1.395387</x:v>
      </x:c>
      <x:c r="AE138" s="16" t="n">
        <x:f>IF(M138="Three Phase",K138/3,IF(N138="R",K138,0))</x:f>
        <x:v>0.24444678356069366</x:v>
      </x:c>
      <x:c r="AF138" s="16" t="n">
        <x:f>IF(M138="Three Phase",J138/3,IF(N138="Y",J138,0))</x:f>
        <x:v>0</x:v>
      </x:c>
      <x:c r="AG138" s="16" t="n">
        <x:f>IF(M138="Three Phase",K138/3,IF(N138="Y",K138,0))</x:f>
        <x:v>0</x:v>
      </x:c>
      <x:c r="AH138" s="16" t="n">
        <x:f>IF(M138="Three Phase",J138/3,IF(N138="B",J138,0))</x:f>
        <x:v>0</x:v>
      </x:c>
      <x:c r="AI138" s="16" t="n">
        <x:f>IF(M138="Three Phase",K138/3,IF(N138="B",K138,0))</x:f>
        <x:v>0</x:v>
      </x:c>
      <x:c r="AJ138" s="16" t="n">
        <x:f>IF(M138="Three Phase",U138/3,IF(N138="R",U138,0))</x:f>
        <x:v>-0.32047199999999987</x:v>
      </x:c>
      <x:c r="AK138" s="16" t="n">
        <x:f>IF(M138="Three Phase",V138/3,IF(N138="R",V138,0))</x:f>
        <x:v>0.148822073836684</x:v>
      </x:c>
      <x:c r="AL138" s="16" t="n">
        <x:f>IF(M138="Three Phase",U138/3,IF(N138="Y",U138,0))</x:f>
        <x:v>0</x:v>
      </x:c>
      <x:c r="AM138" s="16" t="n">
        <x:f>IF(M138="Three Phase",V138/3,IF(N138="Y",V138,0))</x:f>
        <x:v>0</x:v>
      </x:c>
      <x:c r="AN138" s="16" t="n">
        <x:f>IF(M138="Three Phase",U138/3,IF(N138="B",U138,0))</x:f>
        <x:v>0</x:v>
      </x:c>
      <x:c r="AO138" s="16" t="n">
        <x:f>IF(M138="Three Phase",V138/3,IF(N138="B",V138,0))</x:f>
        <x:v>0</x:v>
      </x:c>
    </x:row>
    <x:row r="139">
      <x:c r="A139" s="13" t="str">
        <x:v>C0138</x:v>
      </x:c>
      <x:c r="B139" s="13" t="str">
        <x:v>DT-8</x:v>
      </x:c>
      <x:c r="C139" s="13" t="str">
        <x:v>Residential</x:v>
      </x:c>
      <x:c r="D139" s="16" t="n">
        <x:v>5.5</x:v>
      </x:c>
      <x:c r="E139" s="16" t="n">
        <x:v>0.564</x:v>
      </x:c>
      <x:c r="F139" s="16" t="n">
        <x:f>D139*E139</x:f>
        <x:v>3.102</x:v>
      </x:c>
      <x:c r="G139" s="16" t="n">
        <x:v>0.942</x:v>
      </x:c>
      <x:c r="H139" s="16" t="n">
        <x:f>F139/G139</x:f>
        <x:v>3.2929936305732483</x:v>
      </x:c>
      <x:c r="I139" s="16" t="n">
        <x:v>0.956</x:v>
      </x:c>
      <x:c r="J139" s="16" t="n">
        <x:f>F139*I139</x:f>
        <x:v>2.965512</x:v>
      </x:c>
      <x:c r="K139" s="16" t="n">
        <x:f>J139*TAN(ACOS(G139))</x:f>
        <x:v>1.0565435243353993</x:v>
      </x:c>
      <x:c r="L139" s="16" t="n">
        <x:f>SQRT(J139^2+K139^2)</x:f>
        <x:v>3.1481019108280255</x:v>
      </x:c>
      <x:c r="M139" s="16" t="str">
        <x:v>Single Phase</x:v>
      </x:c>
      <x:c r="N139" s="16" t="str">
        <x:v>R</x:v>
      </x:c>
      <x:c r="O139" s="16" t="str">
        <x:v>Yes</x:v>
      </x:c>
      <x:c r="P139" s="16" t="n">
        <x:v>1.5</x:v>
      </x:c>
      <x:c r="Q139" s="16" t="n">
        <x:v>0.323</x:v>
      </x:c>
      <x:c r="R139" s="16" t="n">
        <x:v>0.843</x:v>
      </x:c>
      <x:c r="S139" s="16" t="n">
        <x:f>F139*Q139</x:f>
        <x:v>1.001946</x:v>
      </x:c>
      <x:c r="T139" s="16" t="n">
        <x:f>IF(O139="Yes",P139*R139,0)</x:f>
        <x:v>1.2645</x:v>
      </x:c>
      <x:c r="U139" s="16" t="n">
        <x:f>S139-T139</x:f>
        <x:v>-0.26255399999999995</x:v>
      </x:c>
      <x:c r="V139" s="16" t="n">
        <x:f>S139*TAN(ACOS(G139))</x:f>
        <x:v>0.3569702493308933</x:v>
      </x:c>
      <x:c r="W139" s="16" t="n">
        <x:f>SQRT(U139^2+V139^2)</x:f>
        <x:v>0.44312792941018747</x:v>
      </x:c>
      <x:c r="X139" s="13" t="str">
        <x:v>Yes</x:v>
      </x:c>
      <x:c r="Y139" s="13" t="str">
        <x:v>DT-7</x:v>
      </x:c>
      <x:c r="Z139" s="18" t="n">
        <x:v>62</x:v>
      </x:c>
      <x:c r="AA139" s="13" t="str"/>
      <x:c r="AB139" s="18" t="str"/>
      <x:c r="AC139" s="13" t="str">
        <x:v>Yes</x:v>
      </x:c>
      <x:c r="AD139" s="16" t="n">
        <x:f>IF(M139="Three Phase",J139/3,IF(N139="R",J139,0))</x:f>
        <x:v>2.965512</x:v>
      </x:c>
      <x:c r="AE139" s="16" t="n">
        <x:f>IF(M139="Three Phase",K139/3,IF(N139="R",K139,0))</x:f>
        <x:v>1.0565435243353993</x:v>
      </x:c>
      <x:c r="AF139" s="16" t="n">
        <x:f>IF(M139="Three Phase",J139/3,IF(N139="Y",J139,0))</x:f>
        <x:v>0</x:v>
      </x:c>
      <x:c r="AG139" s="16" t="n">
        <x:f>IF(M139="Three Phase",K139/3,IF(N139="Y",K139,0))</x:f>
        <x:v>0</x:v>
      </x:c>
      <x:c r="AH139" s="16" t="n">
        <x:f>IF(M139="Three Phase",J139/3,IF(N139="B",J139,0))</x:f>
        <x:v>0</x:v>
      </x:c>
      <x:c r="AI139" s="16" t="n">
        <x:f>IF(M139="Three Phase",K139/3,IF(N139="B",K139,0))</x:f>
        <x:v>0</x:v>
      </x:c>
      <x:c r="AJ139" s="16" t="n">
        <x:f>IF(M139="Three Phase",U139/3,IF(N139="R",U139,0))</x:f>
        <x:v>-0.26255399999999995</x:v>
      </x:c>
      <x:c r="AK139" s="16" t="n">
        <x:f>IF(M139="Three Phase",V139/3,IF(N139="R",V139,0))</x:f>
        <x:v>0.3569702493308933</x:v>
      </x:c>
      <x:c r="AL139" s="16" t="n">
        <x:f>IF(M139="Three Phase",U139/3,IF(N139="Y",U139,0))</x:f>
        <x:v>0</x:v>
      </x:c>
      <x:c r="AM139" s="16" t="n">
        <x:f>IF(M139="Three Phase",V139/3,IF(N139="Y",V139,0))</x:f>
        <x:v>0</x:v>
      </x:c>
      <x:c r="AN139" s="16" t="n">
        <x:f>IF(M139="Three Phase",U139/3,IF(N139="B",U139,0))</x:f>
        <x:v>0</x:v>
      </x:c>
      <x:c r="AO139" s="16" t="n">
        <x:f>IF(M139="Three Phase",V139/3,IF(N139="B",V139,0))</x:f>
        <x:v>0</x:v>
      </x:c>
    </x:row>
    <x:row r="140">
      <x:c r="A140" s="13" t="str">
        <x:v>C0139</x:v>
      </x:c>
      <x:c r="B140" s="13" t="str">
        <x:v>DT-8</x:v>
      </x:c>
      <x:c r="C140" s="13" t="str">
        <x:v>Commercial</x:v>
      </x:c>
      <x:c r="D140" s="16" t="n">
        <x:v>5</x:v>
      </x:c>
      <x:c r="E140" s="16" t="n">
        <x:v>0.861</x:v>
      </x:c>
      <x:c r="F140" s="16" t="n">
        <x:f>D140*E140</x:f>
        <x:v>4.305</x:v>
      </x:c>
      <x:c r="G140" s="16" t="n">
        <x:v>0.917</x:v>
      </x:c>
      <x:c r="H140" s="16" t="n">
        <x:f>F140/G140</x:f>
        <x:v>4.694656488549618</x:v>
      </x:c>
      <x:c r="I140" s="16" t="n">
        <x:v>0.629</x:v>
      </x:c>
      <x:c r="J140" s="16" t="n">
        <x:f>F140*I140</x:f>
        <x:v>2.707845</x:v>
      </x:c>
      <x:c r="K140" s="16" t="n">
        <x:f>J140*TAN(ACOS(G140))</x:f>
        <x:v>1.1778895482805933</x:v>
      </x:c>
      <x:c r="L140" s="16" t="n">
        <x:f>SQRT(J140^2+K140^2)</x:f>
        <x:v>2.9529389312977092</x:v>
      </x:c>
      <x:c r="M140" s="16" t="str">
        <x:v>Single Phase</x:v>
      </x:c>
      <x:c r="N140" s="16" t="str">
        <x:v>R</x:v>
      </x:c>
      <x:c r="O140" s="16" t="str">
        <x:v>No</x:v>
      </x:c>
      <x:c r="P140" s="16" t="n">
        <x:v>0</x:v>
      </x:c>
      <x:c r="Q140" s="16" t="n">
        <x:v>0.635</x:v>
      </x:c>
      <x:c r="R140" s="16" t="n">
        <x:v>0</x:v>
      </x:c>
      <x:c r="S140" s="16" t="n">
        <x:f>F140*Q140</x:f>
        <x:v>2.733675</x:v>
      </x:c>
      <x:c r="T140" s="16" t="n">
        <x:f>IF(O140="Yes",P140*R140,0)</x:f>
        <x:v>0</x:v>
      </x:c>
      <x:c r="U140" s="16" t="n">
        <x:f>S140-T140</x:f>
        <x:v>2.733675</x:v>
      </x:c>
      <x:c r="V140" s="16" t="n">
        <x:f>S140*TAN(ACOS(G140))</x:f>
        <x:v>1.189125378629852</x:v>
      </x:c>
      <x:c r="W140" s="16" t="n">
        <x:f>SQRT(U140^2+V140^2)</x:f>
        <x:v>2.9811068702290076</x:v>
      </x:c>
      <x:c r="X140" s="13" t="str">
        <x:v>No</x:v>
      </x:c>
      <x:c r="Y140" s="13" t="str"/>
      <x:c r="Z140" s="18" t="str"/>
      <x:c r="AA140" s="13" t="str"/>
      <x:c r="AB140" s="18" t="str"/>
      <x:c r="AC140" s="13" t="str">
        <x:v>No</x:v>
      </x:c>
      <x:c r="AD140" s="16" t="n">
        <x:f>IF(M140="Three Phase",J140/3,IF(N140="R",J140,0))</x:f>
        <x:v>2.707845</x:v>
      </x:c>
      <x:c r="AE140" s="16" t="n">
        <x:f>IF(M140="Three Phase",K140/3,IF(N140="R",K140,0))</x:f>
        <x:v>1.1778895482805933</x:v>
      </x:c>
      <x:c r="AF140" s="16" t="n">
        <x:f>IF(M140="Three Phase",J140/3,IF(N140="Y",J140,0))</x:f>
        <x:v>0</x:v>
      </x:c>
      <x:c r="AG140" s="16" t="n">
        <x:f>IF(M140="Three Phase",K140/3,IF(N140="Y",K140,0))</x:f>
        <x:v>0</x:v>
      </x:c>
      <x:c r="AH140" s="16" t="n">
        <x:f>IF(M140="Three Phase",J140/3,IF(N140="B",J140,0))</x:f>
        <x:v>0</x:v>
      </x:c>
      <x:c r="AI140" s="16" t="n">
        <x:f>IF(M140="Three Phase",K140/3,IF(N140="B",K140,0))</x:f>
        <x:v>0</x:v>
      </x:c>
      <x:c r="AJ140" s="16" t="n">
        <x:f>IF(M140="Three Phase",U140/3,IF(N140="R",U140,0))</x:f>
        <x:v>2.733675</x:v>
      </x:c>
      <x:c r="AK140" s="16" t="n">
        <x:f>IF(M140="Three Phase",V140/3,IF(N140="R",V140,0))</x:f>
        <x:v>1.189125378629852</x:v>
      </x:c>
      <x:c r="AL140" s="16" t="n">
        <x:f>IF(M140="Three Phase",U140/3,IF(N140="Y",U140,0))</x:f>
        <x:v>0</x:v>
      </x:c>
      <x:c r="AM140" s="16" t="n">
        <x:f>IF(M140="Three Phase",V140/3,IF(N140="Y",V140,0))</x:f>
        <x:v>0</x:v>
      </x:c>
      <x:c r="AN140" s="16" t="n">
        <x:f>IF(M140="Three Phase",U140/3,IF(N140="B",U140,0))</x:f>
        <x:v>0</x:v>
      </x:c>
      <x:c r="AO140" s="16" t="n">
        <x:f>IF(M140="Three Phase",V140/3,IF(N140="B",V140,0))</x:f>
        <x:v>0</x:v>
      </x:c>
    </x:row>
    <x:row r="141">
      <x:c r="A141" s="13" t="str">
        <x:v>C0140</x:v>
      </x:c>
      <x:c r="B141" s="13" t="str">
        <x:v>DT-8</x:v>
      </x:c>
      <x:c r="C141" s="13" t="str">
        <x:v>Industrial</x:v>
      </x:c>
      <x:c r="D141" s="16" t="n">
        <x:v>29</x:v>
      </x:c>
      <x:c r="E141" s="16" t="n">
        <x:v>0.776</x:v>
      </x:c>
      <x:c r="F141" s="16" t="n">
        <x:f>D141*E141</x:f>
        <x:v>22.504</x:v>
      </x:c>
      <x:c r="G141" s="16" t="n">
        <x:v>0.96</x:v>
      </x:c>
      <x:c r="H141" s="16" t="n">
        <x:f>F141/G141</x:f>
        <x:v>23.44166666666667</x:v>
      </x:c>
      <x:c r="I141" s="16" t="n">
        <x:v>0.858</x:v>
      </x:c>
      <x:c r="J141" s="16" t="n">
        <x:f>F141*I141</x:f>
        <x:v>19.308432</x:v>
      </x:c>
      <x:c r="K141" s="16" t="n">
        <x:f>J141*TAN(ACOS(G141))</x:f>
        <x:v>5.6316260000000025</x:v>
      </x:c>
      <x:c r="L141" s="16" t="n">
        <x:f>SQRT(J141^2+K141^2)</x:f>
        <x:v>20.11295</x:v>
      </x:c>
      <x:c r="M141" s="16" t="str">
        <x:v>Three Phase</x:v>
      </x:c>
      <x:c r="N141" s="16" t="str">
        <x:v>RYB</x:v>
      </x:c>
      <x:c r="O141" s="16" t="str">
        <x:v>No</x:v>
      </x:c>
      <x:c r="P141" s="16" t="n">
        <x:v>0</x:v>
      </x:c>
      <x:c r="Q141" s="16" t="n">
        <x:v>0.896</x:v>
      </x:c>
      <x:c r="R141" s="16" t="n">
        <x:v>0</x:v>
      </x:c>
      <x:c r="S141" s="16" t="n">
        <x:f>F141*Q141</x:f>
        <x:v>20.163584</x:v>
      </x:c>
      <x:c r="T141" s="16" t="n">
        <x:f>IF(O141="Yes",P141*R141,0)</x:f>
        <x:v>0</x:v>
      </x:c>
      <x:c r="U141" s="16" t="n">
        <x:f>S141-T141</x:f>
        <x:v>20.163584</x:v>
      </x:c>
      <x:c r="V141" s="16" t="n">
        <x:f>S141*TAN(ACOS(G141))</x:f>
        <x:v>5.881045333333336</x:v>
      </x:c>
      <x:c r="W141" s="16" t="n">
        <x:f>SQRT(U141^2+V141^2)</x:f>
        <x:v>21.003733333333333</x:v>
      </x:c>
      <x:c r="X141" s="13" t="str">
        <x:v>No</x:v>
      </x:c>
      <x:c r="Y141" s="13" t="str"/>
      <x:c r="Z141" s="18" t="str"/>
      <x:c r="AA141" s="13" t="str"/>
      <x:c r="AB141" s="18" t="str"/>
      <x:c r="AC141" s="13" t="str">
        <x:v>No</x:v>
      </x:c>
      <x:c r="AD141" s="16" t="n">
        <x:f>IF(M141="Three Phase",J141/3,IF(N141="R",J141,0))</x:f>
        <x:v>6.436144</x:v>
      </x:c>
      <x:c r="AE141" s="16" t="n">
        <x:f>IF(M141="Three Phase",K141/3,IF(N141="R",K141,0))</x:f>
        <x:v>1.8772086666666674</x:v>
      </x:c>
      <x:c r="AF141" s="16" t="n">
        <x:f>IF(M141="Three Phase",J141/3,IF(N141="Y",J141,0))</x:f>
        <x:v>6.436144</x:v>
      </x:c>
      <x:c r="AG141" s="16" t="n">
        <x:f>IF(M141="Three Phase",K141/3,IF(N141="Y",K141,0))</x:f>
        <x:v>1.8772086666666674</x:v>
      </x:c>
      <x:c r="AH141" s="16" t="n">
        <x:f>IF(M141="Three Phase",J141/3,IF(N141="B",J141,0))</x:f>
        <x:v>6.436144</x:v>
      </x:c>
      <x:c r="AI141" s="16" t="n">
        <x:f>IF(M141="Three Phase",K141/3,IF(N141="B",K141,0))</x:f>
        <x:v>1.8772086666666674</x:v>
      </x:c>
      <x:c r="AJ141" s="16" t="n">
        <x:f>IF(M141="Three Phase",U141/3,IF(N141="R",U141,0))</x:f>
        <x:v>6.721194666666666</x:v>
      </x:c>
      <x:c r="AK141" s="16" t="n">
        <x:f>IF(M141="Three Phase",V141/3,IF(N141="R",V141,0))</x:f>
        <x:v>1.9603484444444454</x:v>
      </x:c>
      <x:c r="AL141" s="16" t="n">
        <x:f>IF(M141="Three Phase",U141/3,IF(N141="Y",U141,0))</x:f>
        <x:v>6.721194666666666</x:v>
      </x:c>
      <x:c r="AM141" s="16" t="n">
        <x:f>IF(M141="Three Phase",V141/3,IF(N141="Y",V141,0))</x:f>
        <x:v>1.9603484444444454</x:v>
      </x:c>
      <x:c r="AN141" s="16" t="n">
        <x:f>IF(M141="Three Phase",U141/3,IF(N141="B",U141,0))</x:f>
        <x:v>6.721194666666666</x:v>
      </x:c>
      <x:c r="AO141" s="16" t="n">
        <x:f>IF(M141="Three Phase",V141/3,IF(N141="B",V141,0))</x:f>
        <x:v>1.9603484444444454</x:v>
      </x:c>
    </x:row>
  </x:sheetData>
  <x:pageMargins left="0.7" right="0.7" top="0.75" bottom="0.75" header="0.3" footer="0.3"/>
  <x:tableParts count="1">
    <x:tablePart xmlns:r="http://schemas.openxmlformats.org/officeDocument/2006/relationships" r:id="R5b5288f8cf8e4a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.880000114440918" hidden="0" customWidth="1"/>
    <x:col min="2" max="2" width="10.880000114440918" hidden="0" customWidth="1"/>
    <x:col min="3" max="3" width="10.380000114440918" hidden="0" customWidth="1"/>
    <x:col min="4" max="4" width="10.380000114440918" hidden="0" customWidth="1"/>
    <x:col min="5" max="5" width="10.380000114440918" hidden="0" customWidth="1"/>
    <x:col min="6" max="6" width="10.380000114440918" hidden="0" customWidth="1"/>
  </x:cols>
  <x:sheetData>
    <x:row r="1">
      <x:c r="A1" s="6" t="str">
        <x:v>DT</x:v>
      </x:c>
      <x:c r="B1" s="6" t="str">
        <x:v>Capacity_kVA</x:v>
      </x:c>
      <x:c r="C1" s="6" t="str">
        <x:v>Neighbour_1</x:v>
      </x:c>
      <x:c r="D1" s="6" t="str">
        <x:v>Neighbour_2</x:v>
      </x:c>
      <x:c r="E1" s="6" t="str">
        <x:v>Neighbour_3</x:v>
      </x:c>
      <x:c r="F1" s="6" t="str">
        <x:v>Neighbour_4</x:v>
      </x:c>
    </x:row>
    <x:row r="2">
      <x:c r="A2" t="str">
        <x:v>DT-1</x:v>
      </x:c>
      <x:c r="B2" t="n">
        <x:v>25</x:v>
      </x:c>
      <x:c r="C2" t="str">
        <x:v>DT-2</x:v>
      </x:c>
      <x:c r="D2" t="str">
        <x:v>DT-4</x:v>
      </x:c>
      <x:c r="E2" t="str"/>
      <x:c r="F2" t="str"/>
    </x:row>
    <x:row r="3">
      <x:c r="A3" t="str">
        <x:v>DT-2</x:v>
      </x:c>
      <x:c r="B3" t="n">
        <x:v>63</x:v>
      </x:c>
      <x:c r="C3" t="str">
        <x:v>DT-1</x:v>
      </x:c>
      <x:c r="D3" t="str">
        <x:v>DT-3</x:v>
      </x:c>
      <x:c r="E3" t="str">
        <x:v>DT-5</x:v>
      </x:c>
      <x:c r="F3" t="str"/>
    </x:row>
    <x:row r="4">
      <x:c r="A4" t="str">
        <x:v>DT-3</x:v>
      </x:c>
      <x:c r="B4" t="n">
        <x:v>100</x:v>
      </x:c>
      <x:c r="C4" t="str">
        <x:v>DT-2</x:v>
      </x:c>
      <x:c r="D4" t="str">
        <x:v>DT-6</x:v>
      </x:c>
      <x:c r="E4" t="str"/>
      <x:c r="F4" t="str"/>
    </x:row>
    <x:row r="5">
      <x:c r="A5" t="str">
        <x:v>DT-4</x:v>
      </x:c>
      <x:c r="B5" t="n">
        <x:v>63</x:v>
      </x:c>
      <x:c r="C5" t="str">
        <x:v>DT-1</x:v>
      </x:c>
      <x:c r="D5" t="str">
        <x:v>DT-5</x:v>
      </x:c>
      <x:c r="E5" t="str"/>
      <x:c r="F5" t="str"/>
    </x:row>
    <x:row r="6">
      <x:c r="A6" t="str">
        <x:v>DT-5</x:v>
      </x:c>
      <x:c r="B6" t="n">
        <x:v>200</x:v>
      </x:c>
      <x:c r="C6" t="str">
        <x:v>DT-2</x:v>
      </x:c>
      <x:c r="D6" t="str">
        <x:v>DT-4</x:v>
      </x:c>
      <x:c r="E6" t="str">
        <x:v>DT-6</x:v>
      </x:c>
      <x:c r="F6" t="str">
        <x:v>DT-7</x:v>
      </x:c>
    </x:row>
    <x:row r="7">
      <x:c r="A7" t="str">
        <x:v>DT-6</x:v>
      </x:c>
      <x:c r="B7" t="n">
        <x:v>100</x:v>
      </x:c>
      <x:c r="C7" t="str">
        <x:v>DT-3</x:v>
      </x:c>
      <x:c r="D7" t="str">
        <x:v>DT-5</x:v>
      </x:c>
      <x:c r="E7" t="str">
        <x:v>DT-8</x:v>
      </x:c>
      <x:c r="F7" t="str"/>
    </x:row>
    <x:row r="8">
      <x:c r="A8" t="str">
        <x:v>DT-7</x:v>
      </x:c>
      <x:c r="B8" t="n">
        <x:v>200</x:v>
      </x:c>
      <x:c r="C8" t="str">
        <x:v>DT-5</x:v>
      </x:c>
      <x:c r="D8" t="str">
        <x:v>DT-8</x:v>
      </x:c>
      <x:c r="E8" t="str"/>
      <x:c r="F8" t="str"/>
    </x:row>
    <x:row r="9">
      <x:c r="A9" t="str">
        <x:v>DT-8</x:v>
      </x:c>
      <x:c r="B9" t="n">
        <x:v>63</x:v>
      </x:c>
      <x:c r="C9" t="str">
        <x:v>DT-6</x:v>
      </x:c>
      <x:c r="D9" t="str">
        <x:v>DT-7</x:v>
      </x:c>
      <x:c r="E9" t="str"/>
      <x:c r="F9" t="str"/>
    </x:row>
  </x:sheetData>
  <x:pageMargins left="0.7" right="0.7" top="0.75" bottom="0.75" header="0.3" footer="0.3"/>
  <x:tableParts count="1">
    <x:tablePart xmlns:r="http://schemas.openxmlformats.org/officeDocument/2006/relationships" r:id="R344c1667ccc6418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6" t="str">
        <x:v>DT</x:v>
      </x:c>
      <x:c r="B1" s="6" t="str">
        <x:v>Capacity_kVA</x:v>
      </x:c>
      <x:c r="C1" s="6" t="str">
        <x:v>Peak_R_kVA</x:v>
      </x:c>
      <x:c r="D1" s="6" t="str">
        <x:v>Peak_Y_kVA</x:v>
      </x:c>
      <x:c r="E1" s="6" t="str">
        <x:v>Peak_B_kVA</x:v>
      </x:c>
      <x:c r="F1" s="6" t="str">
        <x:v>Peak_Total_kVA</x:v>
      </x:c>
      <x:c r="G1" s="6" t="str">
        <x:v>Peak_Load_%</x:v>
      </x:c>
      <x:c r="H1" s="6" t="str">
        <x:v>Peak_Phase_Imbalance_%</x:v>
      </x:c>
      <x:c r="I1" s="6" t="str">
        <x:v>Peak_Max_Phase_Load_%</x:v>
      </x:c>
      <x:c r="J1" s="6" t="str">
        <x:v>Peak_Headroom_Penalty</x:v>
      </x:c>
      <x:c r="K1" s="6" t="str">
        <x:v>Solar_R_kVA</x:v>
      </x:c>
      <x:c r="L1" s="6" t="str">
        <x:v>Solar_Y_kVA</x:v>
      </x:c>
      <x:c r="M1" s="6" t="str">
        <x:v>Solar_B_kVA</x:v>
      </x:c>
      <x:c r="N1" s="6" t="str">
        <x:v>Solar_Total_kVA</x:v>
      </x:c>
      <x:c r="O1" s="6" t="str">
        <x:v>Solar_Load_%</x:v>
      </x:c>
      <x:c r="P1" s="6" t="str">
        <x:v>Solar_Phase_Imbalance_%</x:v>
      </x:c>
      <x:c r="Q1" s="6" t="str">
        <x:v>Solar_Net_P_kW</x:v>
      </x:c>
      <x:c r="R1" s="6" t="str">
        <x:v>Reverse_Flow</x:v>
      </x:c>
      <x:c r="S1" s="6" t="str">
        <x:v>Solar_Headroom_Penalty</x:v>
      </x:c>
    </x:row>
    <x:row r="2">
      <x:c r="A2" t="str">
        <x:v>DT-1</x:v>
      </x:c>
      <x:c r="B2" t="n">
        <x:v>25</x:v>
      </x:c>
      <x:c r="C2" s="22" t="n">
        <x:f>SQRT(SUMIFS(Consumer_Data!$AD$2:$AD$141,Consumer_Data!$B$2:$B$141,$A2)^2+SUMIFS(Consumer_Data!$AE$2:$AE$141,Consumer_Data!$B$2:$B$141,$A2)^2)</x:f>
        <x:v>12.218256541730243</x:v>
      </x:c>
      <x:c r="D2" s="22" t="n">
        <x:f>SQRT(SUMIFS(Consumer_Data!$AF$2:$AF$141,Consumer_Data!$B$2:$B$141,$A2)^2+SUMIFS(Consumer_Data!$AG$2:$AG$141,Consumer_Data!$B$2:$B$141,$A2)^2)</x:f>
        <x:v>8.239068608917414</x:v>
      </x:c>
      <x:c r="E2" s="22" t="n">
        <x:f>SQRT(SUMIFS(Consumer_Data!$AH$2:$AH$141,Consumer_Data!$B$2:$B$141,$A2)^2+SUMIFS(Consumer_Data!$AI$2:$AI$141,Consumer_Data!$B$2:$B$141,$A2)^2)</x:f>
        <x:v>7.99099391391174</x:v>
      </x:c>
      <x:c r="F2" s="22" t="n">
        <x:f>SUM(C2:E2)</x:f>
        <x:v>28.448319064559396</x:v>
      </x:c>
      <x:c r="G2" s="22" t="n">
        <x:f>F2/B2*100</x:f>
        <x:v>113.79327625823758</x:v>
      </x:c>
      <x:c r="H2" s="22" t="n">
        <x:f>MAX(ABS(C2-AVERAGE(C2:E2)),ABS(D2-AVERAGE(C2:E2)),ABS(E2-AVERAGE(C2:E2)))/AVERAGE(C2:E2)*100</x:f>
        <x:v>28.846873314405553</x:v>
      </x:c>
      <x:c r="I2" s="22" t="n">
        <x:f>MAX(C2:E2)/(B2/3)*100</x:f>
        <x:v>146.6190785007629</x:v>
      </x:c>
      <x:c r="J2" s="22" t="n">
        <x:f>MAX(0,G2-90)^2</x:f>
        <x:v>566.1199951008123</x:v>
      </x:c>
      <x:c r="K2" s="22" t="n">
        <x:f>SQRT(SUMIFS(Consumer_Data!$AJ$2:$AJ$141,Consumer_Data!$B$2:$B$141,$A2)^2+SUMIFS(Consumer_Data!$AK$2:$AK$141,Consumer_Data!$B$2:$B$141,$A2)^2)</x:f>
        <x:v>2.145194359862674</x:v>
      </x:c>
      <x:c r="L2" s="22" t="n">
        <x:f>SQRT(SUMIFS(Consumer_Data!$AL$2:$AL$141,Consumer_Data!$B$2:$B$141,$A2)^2+SUMIFS(Consumer_Data!$AM$2:$AM$141,Consumer_Data!$B$2:$B$141,$A2)^2)</x:f>
        <x:v>2.041227601882624</x:v>
      </x:c>
      <x:c r="M2" s="22" t="n">
        <x:f>SQRT(SUMIFS(Consumer_Data!$AN$2:$AN$141,Consumer_Data!$B$2:$B$141,$A2)^2+SUMIFS(Consumer_Data!$AO$2:$AO$141,Consumer_Data!$B$2:$B$141,$A2)^2)</x:f>
        <x:v>2.6323101346147735</x:v>
      </x:c>
      <x:c r="N2" s="22" t="n">
        <x:f>SUM(K2:M2)</x:f>
        <x:v>6.818732096360071</x:v>
      </x:c>
      <x:c r="O2" s="22" t="n">
        <x:f>N2/B2*100</x:f>
        <x:v>27.274928385440283</x:v>
      </x:c>
      <x:c r="P2" s="22" t="n">
        <x:f>MAX(ABS(K2-AVERAGE(K2:M2)),ABS(L2-AVERAGE(K2:M2)),ABS(M2-AVERAGE(K2:M2)))/AVERAGE(K2:M2)*100</x:f>
        <x:v>15.812299005848992</x:v>
      </x:c>
      <x:c r="Q2" s="22" t="n">
        <x:f>SUMIFS(Consumer_Data!$U$2:$U$141,Consumer_Data!$B$2:$B$141,$A2)</x:f>
        <x:v>-2.1807935</x:v>
      </x:c>
      <x:c r="R2" s="22" t="str">
        <x:f>IF(Q2&lt;0,"Yes","No")</x:f>
        <x:v>Yes</x:v>
      </x:c>
      <x:c r="S2" s="22" t="n">
        <x:f>MAX(0,O2-90)^2</x:f>
        <x:v>0</x:v>
      </x:c>
    </x:row>
    <x:row r="3">
      <x:c r="A3" t="str">
        <x:v>DT-2</x:v>
      </x:c>
      <x:c r="B3" t="n">
        <x:v>63</x:v>
      </x:c>
      <x:c r="C3" s="22" t="n">
        <x:f>SQRT(SUMIFS(Consumer_Data!$AD$2:$AD$141,Consumer_Data!$B$2:$B$141,$A3)^2+SUMIFS(Consumer_Data!$AE$2:$AE$141,Consumer_Data!$B$2:$B$141,$A3)^2)</x:f>
        <x:v>18.16882648886743</x:v>
      </x:c>
      <x:c r="D3" s="22" t="n">
        <x:f>SQRT(SUMIFS(Consumer_Data!$AF$2:$AF$141,Consumer_Data!$B$2:$B$141,$A3)^2+SUMIFS(Consumer_Data!$AG$2:$AG$141,Consumer_Data!$B$2:$B$141,$A3)^2)</x:f>
        <x:v>20.290116960912755</x:v>
      </x:c>
      <x:c r="E3" s="22" t="n">
        <x:f>SQRT(SUMIFS(Consumer_Data!$AH$2:$AH$141,Consumer_Data!$B$2:$B$141,$A3)^2+SUMIFS(Consumer_Data!$AI$2:$AI$141,Consumer_Data!$B$2:$B$141,$A3)^2)</x:f>
        <x:v>17.506300000274965</x:v>
      </x:c>
      <x:c r="F3" s="22" t="n">
        <x:f>SUM(C3:E3)</x:f>
        <x:v>55.965243450055155</x:v>
      </x:c>
      <x:c r="G3" s="22" t="n">
        <x:f>F3/B3*100</x:f>
        <x:v>88.83371976199231</x:v>
      </x:c>
      <x:c r="H3" s="22" t="n">
        <x:f>MAX(ABS(C3-AVERAGE(C3:E3)),ABS(D3-AVERAGE(C3:E3)),ABS(E3-AVERAGE(C3:E3)))/AVERAGE(C3:E3)*100</x:f>
        <x:v>8.764560163238729</x:v>
      </x:c>
      <x:c r="I3" s="22" t="n">
        <x:f>MAX(C3:E3)/(B3/3)*100</x:f>
        <x:v>96.61960457577501</x:v>
      </x:c>
      <x:c r="J3" s="22" t="n">
        <x:f>MAX(0,G3-90)^2</x:f>
        <x:v>0</x:v>
      </x:c>
      <x:c r="K3" s="22" t="n">
        <x:f>SQRT(SUMIFS(Consumer_Data!$AJ$2:$AJ$141,Consumer_Data!$B$2:$B$141,$A3)^2+SUMIFS(Consumer_Data!$AK$2:$AK$141,Consumer_Data!$B$2:$B$141,$A3)^2)</x:f>
        <x:v>3.873829236712763</x:v>
      </x:c>
      <x:c r="L3" s="22" t="n">
        <x:f>SQRT(SUMIFS(Consumer_Data!$AL$2:$AL$141,Consumer_Data!$B$2:$B$141,$A3)^2+SUMIFS(Consumer_Data!$AM$2:$AM$141,Consumer_Data!$B$2:$B$141,$A3)^2)</x:f>
        <x:v>4.443099645500424</x:v>
      </x:c>
      <x:c r="M3" s="22" t="n">
        <x:f>SQRT(SUMIFS(Consumer_Data!$AN$2:$AN$141,Consumer_Data!$B$2:$B$141,$A3)^2+SUMIFS(Consumer_Data!$AO$2:$AO$141,Consumer_Data!$B$2:$B$141,$A3)^2)</x:f>
        <x:v>4.1539936662807975</x:v>
      </x:c>
      <x:c r="N3" s="22" t="n">
        <x:f>SUM(K3:M3)</x:f>
        <x:v>12.470922548493984</x:v>
      </x:c>
      <x:c r="O3" s="22" t="n">
        <x:f>N3/B3*100</x:f>
        <x:v>19.79511515633966</x:v>
      </x:c>
      <x:c r="P3" s="22" t="n">
        <x:f>MAX(ABS(K3-AVERAGE(K3:M3)),ABS(L3-AVERAGE(K3:M3)),ABS(M3-AVERAGE(K3:M3)))/AVERAGE(K3:M3)*100</x:f>
        <x:v>6.88302236397858</x:v>
      </x:c>
      <x:c r="Q3" s="22" t="n">
        <x:f>SUMIFS(Consumer_Data!$U$2:$U$141,Consumer_Data!$B$2:$B$141,$A3)</x:f>
        <x:v>3.893363500000003</x:v>
      </x:c>
      <x:c r="R3" s="22" t="str">
        <x:f>IF(Q3&lt;0,"Yes","No")</x:f>
        <x:v>No</x:v>
      </x:c>
      <x:c r="S3" s="22" t="n">
        <x:f>MAX(0,O3-90)^2</x:f>
        <x:v>0</x:v>
      </x:c>
    </x:row>
    <x:row r="4">
      <x:c r="A4" t="str">
        <x:v>DT-3</x:v>
      </x:c>
      <x:c r="B4" t="n">
        <x:v>100</x:v>
      </x:c>
      <x:c r="C4" s="22" t="n">
        <x:f>SQRT(SUMIFS(Consumer_Data!$AD$2:$AD$141,Consumer_Data!$B$2:$B$141,$A4)^2+SUMIFS(Consumer_Data!$AE$2:$AE$141,Consumer_Data!$B$2:$B$141,$A4)^2)</x:f>
        <x:v>32.97367037111498</x:v>
      </x:c>
      <x:c r="D4" s="22" t="n">
        <x:f>SQRT(SUMIFS(Consumer_Data!$AF$2:$AF$141,Consumer_Data!$B$2:$B$141,$A4)^2+SUMIFS(Consumer_Data!$AG$2:$AG$141,Consumer_Data!$B$2:$B$141,$A4)^2)</x:f>
        <x:v>24.74160202550935</x:v>
      </x:c>
      <x:c r="E4" s="22" t="n">
        <x:f>SQRT(SUMIFS(Consumer_Data!$AH$2:$AH$141,Consumer_Data!$B$2:$B$141,$A4)^2+SUMIFS(Consumer_Data!$AI$2:$AI$141,Consumer_Data!$B$2:$B$141,$A4)^2)</x:f>
        <x:v>25.60747101111423</x:v>
      </x:c>
      <x:c r="F4" s="22" t="n">
        <x:f>SUM(C4:E4)</x:f>
        <x:v>83.32274340773856</x:v>
      </x:c>
      <x:c r="G4" s="22" t="n">
        <x:f>F4/B4*100</x:f>
        <x:v>83.32274340773856</x:v>
      </x:c>
      <x:c r="H4" s="22" t="n">
        <x:f>MAX(ABS(C4-AVERAGE(C4:E4)),ABS(D4-AVERAGE(C4:E4)),ABS(E4-AVERAGE(C4:E4)))/AVERAGE(C4:E4)*100</x:f>
        <x:v>18.720300205763134</x:v>
      </x:c>
      <x:c r="I4" s="22" t="n">
        <x:f>MAX(C4:E4)/(B4/3)*100</x:f>
        <x:v>98.92101111334493</x:v>
      </x:c>
      <x:c r="J4" s="22" t="n">
        <x:f>MAX(0,G4-90)^2</x:f>
        <x:v>0</x:v>
      </x:c>
      <x:c r="K4" s="22" t="n">
        <x:f>SQRT(SUMIFS(Consumer_Data!$AJ$2:$AJ$141,Consumer_Data!$B$2:$B$141,$A4)^2+SUMIFS(Consumer_Data!$AK$2:$AK$141,Consumer_Data!$B$2:$B$141,$A4)^2)</x:f>
        <x:v>14.652722663725216</x:v>
      </x:c>
      <x:c r="L4" s="22" t="n">
        <x:f>SQRT(SUMIFS(Consumer_Data!$AL$2:$AL$141,Consumer_Data!$B$2:$B$141,$A4)^2+SUMIFS(Consumer_Data!$AM$2:$AM$141,Consumer_Data!$B$2:$B$141,$A4)^2)</x:f>
        <x:v>9.977831725794504</x:v>
      </x:c>
      <x:c r="M4" s="22" t="n">
        <x:f>SQRT(SUMIFS(Consumer_Data!$AN$2:$AN$141,Consumer_Data!$B$2:$B$141,$A4)^2+SUMIFS(Consumer_Data!$AO$2:$AO$141,Consumer_Data!$B$2:$B$141,$A4)^2)</x:f>
        <x:v>10.302823942580176</x:v>
      </x:c>
      <x:c r="N4" s="22" t="n">
        <x:f>SUM(K4:M4)</x:f>
        <x:v>34.93337833209989</x:v>
      </x:c>
      <x:c r="O4" s="22" t="n">
        <x:f>N4/B4*100</x:f>
        <x:v>34.93337833209989</x:v>
      </x:c>
      <x:c r="P4" s="22" t="n">
        <x:f>MAX(ABS(K4-AVERAGE(K4:M4)),ABS(L4-AVERAGE(K4:M4)),ABS(M4-AVERAGE(K4:M4)))/AVERAGE(K4:M4)*100</x:f>
        <x:v>25.834288265166094</x:v>
      </x:c>
      <x:c r="Q4" s="22" t="n">
        <x:f>SUMIFS(Consumer_Data!$U$2:$U$141,Consumer_Data!$B$2:$B$141,$A4)</x:f>
        <x:v>27.125429500000003</x:v>
      </x:c>
      <x:c r="R4" s="22" t="str">
        <x:f>IF(Q4&lt;0,"Yes","No")</x:f>
        <x:v>No</x:v>
      </x:c>
      <x:c r="S4" s="22" t="n">
        <x:f>MAX(0,O4-90)^2</x:f>
        <x:v>0</x:v>
      </x:c>
    </x:row>
    <x:row r="5">
      <x:c r="A5" t="str">
        <x:v>DT-4</x:v>
      </x:c>
      <x:c r="B5" t="n">
        <x:v>63</x:v>
      </x:c>
      <x:c r="C5" s="22" t="n">
        <x:f>SQRT(SUMIFS(Consumer_Data!$AD$2:$AD$141,Consumer_Data!$B$2:$B$141,$A5)^2+SUMIFS(Consumer_Data!$AE$2:$AE$141,Consumer_Data!$B$2:$B$141,$A5)^2)</x:f>
        <x:v>31.085866176926253</x:v>
      </x:c>
      <x:c r="D5" s="22" t="n">
        <x:f>SQRT(SUMIFS(Consumer_Data!$AF$2:$AF$141,Consumer_Data!$B$2:$B$141,$A5)^2+SUMIFS(Consumer_Data!$AG$2:$AG$141,Consumer_Data!$B$2:$B$141,$A5)^2)</x:f>
        <x:v>19.580054348309822</x:v>
      </x:c>
      <x:c r="E5" s="22" t="n">
        <x:f>SQRT(SUMIFS(Consumer_Data!$AH$2:$AH$141,Consumer_Data!$B$2:$B$141,$A5)^2+SUMIFS(Consumer_Data!$AI$2:$AI$141,Consumer_Data!$B$2:$B$141,$A5)^2)</x:f>
        <x:v>15.01767895883256</x:v>
      </x:c>
      <x:c r="F5" s="22" t="n">
        <x:f>SUM(C5:E5)</x:f>
        <x:v>65.68359948406864</x:v>
      </x:c>
      <x:c r="G5" s="22" t="n">
        <x:f>F5/B5*100</x:f>
        <x:v>104.25968172074387</x:v>
      </x:c>
      <x:c r="H5" s="22" t="n">
        <x:f>MAX(ABS(C5-AVERAGE(C5:E5)),ABS(D5-AVERAGE(C5:E5)),ABS(E5-AVERAGE(C5:E5)))/AVERAGE(C5:E5)*100</x:f>
        <x:v>41.98003651337366</x:v>
      </x:c>
      <x:c r="I5" s="22" t="n">
        <x:f>MAX(C5:E5)/(B5/3)*100</x:f>
        <x:v>148.0279341758393</x:v>
      </x:c>
      <x:c r="J5" s="22" t="n">
        <x:f>MAX(0,G5-90)^2</x:f>
        <x:v>203.33852277691688</x:v>
      </x:c>
      <x:c r="K5" s="22" t="n">
        <x:f>SQRT(SUMIFS(Consumer_Data!$AJ$2:$AJ$141,Consumer_Data!$B$2:$B$141,$A5)^2+SUMIFS(Consumer_Data!$AK$2:$AK$141,Consumer_Data!$B$2:$B$141,$A5)^2)</x:f>
        <x:v>14.498925484215677</x:v>
      </x:c>
      <x:c r="L5" s="22" t="n">
        <x:f>SQRT(SUMIFS(Consumer_Data!$AL$2:$AL$141,Consumer_Data!$B$2:$B$141,$A5)^2+SUMIFS(Consumer_Data!$AM$2:$AM$141,Consumer_Data!$B$2:$B$141,$A5)^2)</x:f>
        <x:v>11.077493118898827</x:v>
      </x:c>
      <x:c r="M5" s="22" t="n">
        <x:f>SQRT(SUMIFS(Consumer_Data!$AN$2:$AN$141,Consumer_Data!$B$2:$B$141,$A5)^2+SUMIFS(Consumer_Data!$AO$2:$AO$141,Consumer_Data!$B$2:$B$141,$A5)^2)</x:f>
        <x:v>9.224309262825386</x:v>
      </x:c>
      <x:c r="N5" s="22" t="n">
        <x:f>SUM(K5:M5)</x:f>
        <x:v>34.80072786593989</x:v>
      </x:c>
      <x:c r="O5" s="22" t="n">
        <x:f>N5/B5*100</x:f>
        <x:v>55.23925058085697</x:v>
      </x:c>
      <x:c r="P5" s="22" t="n">
        <x:f>MAX(ABS(K5-AVERAGE(K5:M5)),ABS(L5-AVERAGE(K5:M5)),ABS(M5-AVERAGE(K5:M5)))/AVERAGE(K5:M5)*100</x:f>
        <x:v>24.988122720324252</x:v>
      </x:c>
      <x:c r="Q5" s="22" t="n">
        <x:f>SUMIFS(Consumer_Data!$U$2:$U$141,Consumer_Data!$B$2:$B$141,$A5)</x:f>
        <x:v>32.467069499999994</x:v>
      </x:c>
      <x:c r="R5" s="22" t="str">
        <x:f>IF(Q5&lt;0,"Yes","No")</x:f>
        <x:v>No</x:v>
      </x:c>
      <x:c r="S5" s="22" t="n">
        <x:f>MAX(0,O5-90)^2</x:f>
        <x:v>0</x:v>
      </x:c>
    </x:row>
    <x:row r="6">
      <x:c r="A6" t="str">
        <x:v>DT-5</x:v>
      </x:c>
      <x:c r="B6" t="n">
        <x:v>200</x:v>
      </x:c>
      <x:c r="C6" s="22" t="n">
        <x:f>SQRT(SUMIFS(Consumer_Data!$AD$2:$AD$141,Consumer_Data!$B$2:$B$141,$A6)^2+SUMIFS(Consumer_Data!$AE$2:$AE$141,Consumer_Data!$B$2:$B$141,$A6)^2)</x:f>
        <x:v>36.26643016907788</x:v>
      </x:c>
      <x:c r="D6" s="22" t="n">
        <x:f>SQRT(SUMIFS(Consumer_Data!$AF$2:$AF$141,Consumer_Data!$B$2:$B$141,$A6)^2+SUMIFS(Consumer_Data!$AG$2:$AG$141,Consumer_Data!$B$2:$B$141,$A6)^2)</x:f>
        <x:v>43.46609106444713</x:v>
      </x:c>
      <x:c r="E6" s="22" t="n">
        <x:f>SQRT(SUMIFS(Consumer_Data!$AH$2:$AH$141,Consumer_Data!$B$2:$B$141,$A6)^2+SUMIFS(Consumer_Data!$AI$2:$AI$141,Consumer_Data!$B$2:$B$141,$A6)^2)</x:f>
        <x:v>31.15295835806897</x:v>
      </x:c>
      <x:c r="F6" s="22" t="n">
        <x:f>SUM(C6:E6)</x:f>
        <x:v>110.88547959159398</x:v>
      </x:c>
      <x:c r="G6" s="22" t="n">
        <x:f>F6/B6*100</x:f>
        <x:v>55.44273979579699</x:v>
      </x:c>
      <x:c r="H6" s="22" t="n">
        <x:f>MAX(ABS(C6-AVERAGE(C6:E6)),ABS(D6-AVERAGE(C6:E6)),ABS(E6-AVERAGE(C6:E6)))/AVERAGE(C6:E6)*100</x:f>
        <x:v>17.597248687218226</x:v>
      </x:c>
      <x:c r="I6" s="22" t="n">
        <x:f>MAX(C6:E6)/(B6/3)*100</x:f>
        <x:v>65.19913659667068</x:v>
      </x:c>
      <x:c r="J6" s="22" t="n">
        <x:f>MAX(0,G6-90)^2</x:f>
        <x:v>0</x:v>
      </x:c>
      <x:c r="K6" s="22" t="n">
        <x:f>SQRT(SUMIFS(Consumer_Data!$AJ$2:$AJ$141,Consumer_Data!$B$2:$B$141,$A6)^2+SUMIFS(Consumer_Data!$AK$2:$AK$141,Consumer_Data!$B$2:$B$141,$A6)^2)</x:f>
        <x:v>17.78168012484338</x:v>
      </x:c>
      <x:c r="L6" s="22" t="n">
        <x:f>SQRT(SUMIFS(Consumer_Data!$AL$2:$AL$141,Consumer_Data!$B$2:$B$141,$A6)^2+SUMIFS(Consumer_Data!$AM$2:$AM$141,Consumer_Data!$B$2:$B$141,$A6)^2)</x:f>
        <x:v>17.02981187296875</x:v>
      </x:c>
      <x:c r="M6" s="22" t="n">
        <x:f>SQRT(SUMIFS(Consumer_Data!$AN$2:$AN$141,Consumer_Data!$B$2:$B$141,$A6)^2+SUMIFS(Consumer_Data!$AO$2:$AO$141,Consumer_Data!$B$2:$B$141,$A6)^2)</x:f>
        <x:v>21.74135133268848</x:v>
      </x:c>
      <x:c r="N6" s="22" t="n">
        <x:f>SUM(K6:M6)</x:f>
        <x:v>56.55284333050061</x:v>
      </x:c>
      <x:c r="O6" s="22" t="n">
        <x:f>N6/B6*100</x:f>
        <x:v>28.276421665250307</x:v>
      </x:c>
      <x:c r="P6" s="22" t="n">
        <x:f>MAX(ABS(K6-AVERAGE(K6:M6)),ABS(L6-AVERAGE(K6:M6)),ABS(M6-AVERAGE(K6:M6)))/AVERAGE(K6:M6)*100</x:f>
        <x:v>15.332934927585148</x:v>
      </x:c>
      <x:c r="Q6" s="22" t="n">
        <x:f>SUMIFS(Consumer_Data!$U$2:$U$141,Consumer_Data!$B$2:$B$141,$A6)</x:f>
        <x:v>49.021265</x:v>
      </x:c>
      <x:c r="R6" s="22" t="str">
        <x:f>IF(Q6&lt;0,"Yes","No")</x:f>
        <x:v>No</x:v>
      </x:c>
      <x:c r="S6" s="22" t="n">
        <x:f>MAX(0,O6-90)^2</x:f>
        <x:v>0</x:v>
      </x:c>
    </x:row>
    <x:row r="7">
      <x:c r="A7" t="str">
        <x:v>DT-6</x:v>
      </x:c>
      <x:c r="B7" t="n">
        <x:v>100</x:v>
      </x:c>
      <x:c r="C7" s="22" t="n">
        <x:f>SQRT(SUMIFS(Consumer_Data!$AD$2:$AD$141,Consumer_Data!$B$2:$B$141,$A7)^2+SUMIFS(Consumer_Data!$AE$2:$AE$141,Consumer_Data!$B$2:$B$141,$A7)^2)</x:f>
        <x:v>24.542126266665097</x:v>
      </x:c>
      <x:c r="D7" s="22" t="n">
        <x:f>SQRT(SUMIFS(Consumer_Data!$AF$2:$AF$141,Consumer_Data!$B$2:$B$141,$A7)^2+SUMIFS(Consumer_Data!$AG$2:$AG$141,Consumer_Data!$B$2:$B$141,$A7)^2)</x:f>
        <x:v>31.695507063666742</x:v>
      </x:c>
      <x:c r="E7" s="22" t="n">
        <x:f>SQRT(SUMIFS(Consumer_Data!$AH$2:$AH$141,Consumer_Data!$B$2:$B$141,$A7)^2+SUMIFS(Consumer_Data!$AI$2:$AI$141,Consumer_Data!$B$2:$B$141,$A7)^2)</x:f>
        <x:v>32.31495676734294</x:v>
      </x:c>
      <x:c r="F7" s="22" t="n">
        <x:f>SUM(C7:E7)</x:f>
        <x:v>88.55259009767478</x:v>
      </x:c>
      <x:c r="G7" s="22" t="n">
        <x:f>F7/B7*100</x:f>
        <x:v>88.55259009767478</x:v>
      </x:c>
      <x:c r="H7" s="22" t="n">
        <x:f>MAX(ABS(C7-AVERAGE(C7:E7)),ABS(D7-AVERAGE(C7:E7)),ABS(E7-AVERAGE(C7:E7)))/AVERAGE(C7:E7)*100</x:f>
        <x:v>16.855759138400877</x:v>
      </x:c>
      <x:c r="I7" s="22" t="n">
        <x:f>MAX(C7:E7)/(B7/3)*100</x:f>
        <x:v>96.94487030202882</x:v>
      </x:c>
      <x:c r="J7" s="22" t="n">
        <x:f>MAX(0,G7-90)^2</x:f>
        <x:v>0</x:v>
      </x:c>
      <x:c r="K7" s="22" t="n">
        <x:f>SQRT(SUMIFS(Consumer_Data!$AJ$2:$AJ$141,Consumer_Data!$B$2:$B$141,$A7)^2+SUMIFS(Consumer_Data!$AK$2:$AK$141,Consumer_Data!$B$2:$B$141,$A7)^2)</x:f>
        <x:v>19.89549969185862</x:v>
      </x:c>
      <x:c r="L7" s="22" t="n">
        <x:f>SQRT(SUMIFS(Consumer_Data!$AL$2:$AL$141,Consumer_Data!$B$2:$B$141,$A7)^2+SUMIFS(Consumer_Data!$AM$2:$AM$141,Consumer_Data!$B$2:$B$141,$A7)^2)</x:f>
        <x:v>22.972073915951746</x:v>
      </x:c>
      <x:c r="M7" s="22" t="n">
        <x:f>SQRT(SUMIFS(Consumer_Data!$AN$2:$AN$141,Consumer_Data!$B$2:$B$141,$A7)^2+SUMIFS(Consumer_Data!$AO$2:$AO$141,Consumer_Data!$B$2:$B$141,$A7)^2)</x:f>
        <x:v>23.50981123104252</x:v>
      </x:c>
      <x:c r="N7" s="22" t="n">
        <x:f>SUM(K7:M7)</x:f>
        <x:v>66.37738483885289</x:v>
      </x:c>
      <x:c r="O7" s="22" t="n">
        <x:f>N7/B7*100</x:f>
        <x:v>66.37738483885289</x:v>
      </x:c>
      <x:c r="P7" s="22" t="n">
        <x:f>MAX(ABS(K7-AVERAGE(K7:M7)),ABS(L7-AVERAGE(K7:M7)),ABS(M7-AVERAGE(K7:M7)))/AVERAGE(K7:M7)*100</x:f>
        <x:v>10.080068353884036</x:v>
      </x:c>
      <x:c r="Q7" s="22" t="n">
        <x:f>SUMIFS(Consumer_Data!$U$2:$U$141,Consumer_Data!$B$2:$B$141,$A7)</x:f>
        <x:v>62.878347000000005</x:v>
      </x:c>
      <x:c r="R7" s="22" t="str">
        <x:f>IF(Q7&lt;0,"Yes","No")</x:f>
        <x:v>No</x:v>
      </x:c>
      <x:c r="S7" s="22" t="n">
        <x:f>MAX(0,O7-90)^2</x:f>
        <x:v>0</x:v>
      </x:c>
    </x:row>
    <x:row r="8">
      <x:c r="A8" t="str">
        <x:v>DT-7</x:v>
      </x:c>
      <x:c r="B8" t="n">
        <x:v>200</x:v>
      </x:c>
      <x:c r="C8" s="22" t="n">
        <x:f>SQRT(SUMIFS(Consumer_Data!$AD$2:$AD$141,Consumer_Data!$B$2:$B$141,$A8)^2+SUMIFS(Consumer_Data!$AE$2:$AE$141,Consumer_Data!$B$2:$B$141,$A8)^2)</x:f>
        <x:v>53.19258048647707</x:v>
      </x:c>
      <x:c r="D8" s="22" t="n">
        <x:f>SQRT(SUMIFS(Consumer_Data!$AF$2:$AF$141,Consumer_Data!$B$2:$B$141,$A8)^2+SUMIFS(Consumer_Data!$AG$2:$AG$141,Consumer_Data!$B$2:$B$141,$A8)^2)</x:f>
        <x:v>44.07163968659708</x:v>
      </x:c>
      <x:c r="E8" s="22" t="n">
        <x:f>SQRT(SUMIFS(Consumer_Data!$AH$2:$AH$141,Consumer_Data!$B$2:$B$141,$A8)^2+SUMIFS(Consumer_Data!$AI$2:$AI$141,Consumer_Data!$B$2:$B$141,$A8)^2)</x:f>
        <x:v>50.723376917077005</x:v>
      </x:c>
      <x:c r="F8" s="22" t="n">
        <x:f>SUM(C8:E8)</x:f>
        <x:v>147.98759709015116</x:v>
      </x:c>
      <x:c r="G8" s="22" t="n">
        <x:f>F8/B8*100</x:f>
        <x:v>73.99379854507558</x:v>
      </x:c>
      <x:c r="H8" s="22" t="n">
        <x:f>MAX(ABS(C8-AVERAGE(C8:E8)),ABS(D8-AVERAGE(C8:E8)),ABS(E8-AVERAGE(C8:E8)))/AVERAGE(C8:E8)*100</x:f>
        <x:v>10.658108071551089</x:v>
      </x:c>
      <x:c r="I8" s="22" t="n">
        <x:f>MAX(C8:E8)/(B8/3)*100</x:f>
        <x:v>79.7888707297156</x:v>
      </x:c>
      <x:c r="J8" s="22" t="n">
        <x:f>MAX(0,G8-90)^2</x:f>
        <x:v>0</x:v>
      </x:c>
      <x:c r="K8" s="22" t="n">
        <x:f>SQRT(SUMIFS(Consumer_Data!$AJ$2:$AJ$141,Consumer_Data!$B$2:$B$141,$A8)^2+SUMIFS(Consumer_Data!$AK$2:$AK$141,Consumer_Data!$B$2:$B$141,$A8)^2)</x:f>
        <x:v>18.455089808349463</x:v>
      </x:c>
      <x:c r="L8" s="22" t="n">
        <x:f>SQRT(SUMIFS(Consumer_Data!$AL$2:$AL$141,Consumer_Data!$B$2:$B$141,$A8)^2+SUMIFS(Consumer_Data!$AM$2:$AM$141,Consumer_Data!$B$2:$B$141,$A8)^2)</x:f>
        <x:v>20.903461702170844</x:v>
      </x:c>
      <x:c r="M8" s="22" t="n">
        <x:f>SQRT(SUMIFS(Consumer_Data!$AN$2:$AN$141,Consumer_Data!$B$2:$B$141,$A8)^2+SUMIFS(Consumer_Data!$AO$2:$AO$141,Consumer_Data!$B$2:$B$141,$A8)^2)</x:f>
        <x:v>21.08752281024364</x:v>
      </x:c>
      <x:c r="N8" s="22" t="n">
        <x:f>SUM(K8:M8)</x:f>
        <x:v>60.44607432076395</x:v>
      </x:c>
      <x:c r="O8" s="22" t="n">
        <x:f>N8/B8*100</x:f>
        <x:v>30.22303716038197</x:v>
      </x:c>
      <x:c r="P8" s="22" t="n">
        <x:f>MAX(ABS(K8-AVERAGE(K8:M8)),ABS(L8-AVERAGE(K8:M8)),ABS(M8-AVERAGE(K8:M8)))/AVERAGE(K8:M8)*100</x:f>
        <x:v>8.405516740018035</x:v>
      </x:c>
      <x:c r="Q8" s="22" t="n">
        <x:f>SUMIFS(Consumer_Data!$U$2:$U$141,Consumer_Data!$B$2:$B$141,$A8)</x:f>
        <x:v>47.7496855</x:v>
      </x:c>
      <x:c r="R8" s="22" t="str">
        <x:f>IF(Q8&lt;0,"Yes","No")</x:f>
        <x:v>No</x:v>
      </x:c>
      <x:c r="S8" s="22" t="n">
        <x:f>MAX(0,O8-90)^2</x:f>
        <x:v>0</x:v>
      </x:c>
    </x:row>
    <x:row r="9">
      <x:c r="A9" t="str">
        <x:v>DT-8</x:v>
      </x:c>
      <x:c r="B9" t="n">
        <x:v>63</x:v>
      </x:c>
      <x:c r="C9" s="22" t="n">
        <x:f>SQRT(SUMIFS(Consumer_Data!$AD$2:$AD$141,Consumer_Data!$B$2:$B$141,$A9)^2+SUMIFS(Consumer_Data!$AE$2:$AE$141,Consumer_Data!$B$2:$B$141,$A9)^2)</x:f>
        <x:v>21.769262772326886</x:v>
      </x:c>
      <x:c r="D9" s="22" t="n">
        <x:f>SQRT(SUMIFS(Consumer_Data!$AF$2:$AF$141,Consumer_Data!$B$2:$B$141,$A9)^2+SUMIFS(Consumer_Data!$AG$2:$AG$141,Consumer_Data!$B$2:$B$141,$A9)^2)</x:f>
        <x:v>15.166816485832285</x:v>
      </x:c>
      <x:c r="E9" s="22" t="n">
        <x:f>SQRT(SUMIFS(Consumer_Data!$AH$2:$AH$141,Consumer_Data!$B$2:$B$141,$A9)^2+SUMIFS(Consumer_Data!$AI$2:$AI$141,Consumer_Data!$B$2:$B$141,$A9)^2)</x:f>
        <x:v>16.785912461142985</x:v>
      </x:c>
      <x:c r="F9" s="22" t="n">
        <x:f>SUM(C9:E9)</x:f>
        <x:v>53.72199171930215</x:v>
      </x:c>
      <x:c r="G9" s="22" t="n">
        <x:f>F9/B9*100</x:f>
        <x:v>85.27300272905104</x:v>
      </x:c>
      <x:c r="H9" s="22" t="n">
        <x:f>MAX(ABS(C9-AVERAGE(C9:E9)),ABS(D9-AVERAGE(C9:E9)),ABS(E9-AVERAGE(C9:E9)))/AVERAGE(C9:E9)*100</x:f>
        <x:v>21.566208226631627</x:v>
      </x:c>
      <x:c r="I9" s="22" t="n">
        <x:f>MAX(C9:E9)/(B9/3)*100</x:f>
        <x:v>103.66315605869947</x:v>
      </x:c>
      <x:c r="J9" s="22" t="n">
        <x:f>MAX(0,G9-90)^2</x:f>
        <x:v>0</x:v>
      </x:c>
      <x:c r="K9" s="22" t="n">
        <x:f>SQRT(SUMIFS(Consumer_Data!$AJ$2:$AJ$141,Consumer_Data!$B$2:$B$141,$A9)^2+SUMIFS(Consumer_Data!$AK$2:$AK$141,Consumer_Data!$B$2:$B$141,$A9)^2)</x:f>
        <x:v>11.722041012335476</x:v>
      </x:c>
      <x:c r="L9" s="22" t="n">
        <x:f>SQRT(SUMIFS(Consumer_Data!$AL$2:$AL$141,Consumer_Data!$B$2:$B$141,$A9)^2+SUMIFS(Consumer_Data!$AM$2:$AM$141,Consumer_Data!$B$2:$B$141,$A9)^2)</x:f>
        <x:v>11.652414785103627</x:v>
      </x:c>
      <x:c r="M9" s="22" t="n">
        <x:f>SQRT(SUMIFS(Consumer_Data!$AN$2:$AN$141,Consumer_Data!$B$2:$B$141,$A9)^2+SUMIFS(Consumer_Data!$AO$2:$AO$141,Consumer_Data!$B$2:$B$141,$A9)^2)</x:f>
        <x:v>12.07705881314414</x:v>
      </x:c>
      <x:c r="N9" s="22" t="n">
        <x:f>SUM(K9:M9)</x:f>
        <x:v>35.451514610583246</x:v>
      </x:c>
      <x:c r="O9" s="22" t="n">
        <x:f>N9/B9*100</x:f>
        <x:v>56.2722454136242</x:v>
      </x:c>
      <x:c r="P9" s="22" t="n">
        <x:f>MAX(ABS(K9-AVERAGE(K9:M9)),ABS(L9-AVERAGE(K9:M9)),ABS(M9-AVERAGE(K9:M9)))/AVERAGE(K9:M9)*100</x:f>
        <x:v>2.1992341862212648</x:v>
      </x:c>
      <x:c r="Q9" s="22" t="n">
        <x:f>SUMIFS(Consumer_Data!$U$2:$U$141,Consumer_Data!$B$2:$B$141,$A9)</x:f>
        <x:v>33.087651</x:v>
      </x:c>
      <x:c r="R9" s="22" t="str">
        <x:f>IF(Q9&lt;0,"Yes","No")</x:f>
        <x:v>No</x:v>
      </x:c>
      <x:c r="S9" s="22" t="n">
        <x:f>MAX(0,O9-90)^2</x:f>
        <x:v>0</x:v>
      </x:c>
    </x:row>
    <x:row r="12">
      <x:c r="A12" s="6" t="str">
        <x:v>Baseline KPI</x:v>
      </x:c>
      <x:c r="B12" s="6" t="str">
        <x:v>Formula / Value</x:v>
      </x:c>
    </x:row>
    <x:row r="13">
      <x:c r="A13" t="str">
        <x:v>Peak DT loading standard deviation</x:v>
      </x:c>
      <x:c r="B13" s="22" t="n">
        <x:f>STDEV.P(G2:G9)</x:f>
        <x:v>16.59170305630363</x:v>
      </x:c>
    </x:row>
    <x:row r="14">
      <x:c r="A14" t="str">
        <x:v>Solar DT loading standard deviation</x:v>
      </x:c>
      <x:c r="B14" s="22" t="n">
        <x:f>STDEV.P(O2:O9)</x:f>
        <x:v>15.895481361610969</x:v>
      </x:c>
    </x:row>
    <x:row r="15">
      <x:c r="A15" t="str">
        <x:v>F_DT = worst-case DT imbalance</x:v>
      </x:c>
      <x:c r="B15" s="22" t="n">
        <x:f>MAX(B13:B14)</x:f>
        <x:v>16.59170305630363</x:v>
      </x:c>
    </x:row>
    <x:row r="16">
      <x:c r="A16" t="str">
        <x:v>F_phase = worst-case phase imbalance</x:v>
      </x:c>
      <x:c r="B16" s="22" t="n">
        <x:f>MAX(H2:H9,P2:P9)</x:f>
        <x:v>41.98003651337366</x:v>
      </x:c>
    </x:row>
    <x:row r="17">
      <x:c r="A17" t="str">
        <x:v>F_headroom = worst-case headroom penalty</x:v>
      </x:c>
      <x:c r="B17" s="22" t="n">
        <x:f>MAX(SUM(J2:J9),SUM(S2:S9))</x:f>
        <x:v>769.4585178777292</x:v>
      </x:c>
    </x:row>
    <x:row r="18">
      <x:c r="A18" t="str">
        <x:v>Overloaded DTs at Peak Import</x:v>
      </x:c>
      <x:c r="B18" t="n">
        <x:f>COUNTIF(G2:G9,"&gt;100")</x:f>
        <x:v>2</x:v>
      </x:c>
    </x:row>
    <x:row r="19">
      <x:c r="A19" t="str">
        <x:v>Overloaded DTs at High Solar</x:v>
      </x:c>
      <x:c r="B19" t="n">
        <x:f>COUNTIF(O2:O9,"&gt;100")</x:f>
        <x:v>0</x:v>
      </x:c>
    </x:row>
    <x:row r="20">
      <x:c r="A20" t="str">
        <x:v>Reverse-flow DTs at High Solar</x:v>
      </x:c>
      <x:c r="B20" t="n">
        <x:f>COUNTIF(R2:R9,"Yes")</x:f>
        <x:v>1</x:v>
      </x:c>
    </x:row>
  </x:sheetData>
  <x:conditionalFormatting sqref="G2:G9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O2:O9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H2:H9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{A4CED673-D092-E340-FC59-EDED9E6DBBCB}</x14:id>
        </x:ext>
      </x:extLst>
    </x:cfRule>
  </x:conditionalFormatting>
  <x:conditionalFormatting sqref="P2:P9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{F63367B8-533D-5486-BD09-FDF72E9CED43}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4a9853b5ea3d46ee"/>
  <x:tableParts count="1">
    <x:tablePart xmlns:r="http://schemas.openxmlformats.org/officeDocument/2006/relationships" r:id="Re0e4357ce43142d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A4CED673-D092-E340-FC59-EDED9E6DBBCB}">
            <x14:dataBar gradient="1">
              <x14:cfvo type="min"/>
              <x14:cfvo type="max"/>
              <x14:fillColor rgb="FFA02B93"/>
            </x14:dataBar>
          </x14:cfRule>
          <xm:sqref>H2:H9</xm:sqref>
        </x14:conditionalFormatting>
        <x14:conditionalFormatting>
          <x14:cfRule type="dataBar" priority="4" id="{F63367B8-533D-5486-BD09-FDF72E9CED43}">
            <x14:dataBar gradient="1">
              <x14:cfvo type="min"/>
              <x14:cfvo type="max"/>
              <x14:fillColor rgb="FFA02B93"/>
            </x14:dataBar>
          </x14:cfRule>
          <xm:sqref>P2:P9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.6299991607666" hidden="0" customWidth="1"/>
    <x:col min="3" max="3" width="17.5" hidden="0" customWidth="1"/>
    <x:col min="4" max="4" width="17.5" hidden="0" customWidth="1"/>
    <x:col min="5" max="5" width="34" hidden="0" customWidth="1"/>
  </x:cols>
  <x:sheetData>
    <x:row r="1">
      <x:c r="A1" s="6" t="str">
        <x:v>Parameter</x:v>
      </x:c>
      <x:c r="B1" s="6" t="str">
        <x:v>Residential</x:v>
      </x:c>
      <x:c r="C1" s="6" t="str">
        <x:v>Commercial</x:v>
      </x:c>
      <x:c r="D1" s="6" t="str">
        <x:v>Industrial</x:v>
      </x:c>
      <x:c r="E1" s="6" t="str">
        <x:v>Notes</x:v>
      </x:c>
    </x:row>
    <x:row r="2">
      <x:c r="A2" s="20" t="str">
        <x:v>Contracted Load (kW)</x:v>
      </x:c>
      <x:c r="B2" s="20" t="str">
        <x:v>1–8</x:v>
      </x:c>
      <x:c r="C2" s="20" t="str">
        <x:v>2–20</x:v>
      </x:c>
      <x:c r="D2" s="20" t="str">
        <x:v>8–40</x:v>
      </x:c>
      <x:c r="E2" s="20" t="str">
        <x:v>Synthetic modelling range</x:v>
      </x:c>
    </x:row>
    <x:row r="3">
      <x:c r="A3" s="20" t="str">
        <x:v>Max Demand / Contracted Load</x:v>
      </x:c>
      <x:c r="B3" s="20" t="str">
        <x:v>0.40–0.80</x:v>
      </x:c>
      <x:c r="C3" s="20" t="str">
        <x:v>0.50–0.90</x:v>
      </x:c>
      <x:c r="D3" s="20" t="str">
        <x:v>0.65–0.95</x:v>
      </x:c>
      <x:c r="E3" s="20" t="str">
        <x:v>Utilization factor</x:v>
      </x:c>
    </x:row>
    <x:row r="4">
      <x:c r="A4" s="20" t="str">
        <x:v>Power Factor</x:v>
      </x:c>
      <x:c r="B4" s="20" t="str">
        <x:v>0.90–0.99</x:v>
      </x:c>
      <x:c r="C4" s="20" t="str">
        <x:v>0.90–0.99</x:v>
      </x:c>
      <x:c r="D4" s="20" t="str">
        <x:v>0.90–0.99</x:v>
      </x:c>
      <x:c r="E4" s="20" t="str">
        <x:v>Synthetic range</x:v>
      </x:c>
    </x:row>
    <x:row r="5">
      <x:c r="A5" s="20" t="str">
        <x:v>Solar Capacity (kW)</x:v>
      </x:c>
      <x:c r="B5" s="20" t="str">
        <x:v>1–6</x:v>
      </x:c>
      <x:c r="C5" s="20" t="str">
        <x:v>2–15</x:v>
      </x:c>
      <x:c r="D5" s="20" t="str">
        <x:v>5–30</x:v>
      </x:c>
      <x:c r="E5" s="20" t="str">
        <x:v>Applied only to solar consumers</x:v>
      </x:c>
    </x:row>
    <x:row r="6">
      <x:c r="A6" s="20" t="str">
        <x:v>Peak Coincidence Factor</x:v>
      </x:c>
      <x:c r="B6" s="20" t="str">
        <x:v>0.70–1.00</x:v>
      </x:c>
      <x:c r="C6" s="20" t="str">
        <x:v>0.60–0.90</x:v>
      </x:c>
      <x:c r="D6" s="20" t="str">
        <x:v>0.75–1.00</x:v>
      </x:c>
      <x:c r="E6" s="20" t="str">
        <x:v>Peak import scenario</x:v>
      </x:c>
    </x:row>
    <x:row r="7">
      <x:c r="A7" s="20" t="str">
        <x:v>Daytime Demand / MD</x:v>
      </x:c>
      <x:c r="B7" s="20" t="str">
        <x:v>0.20–0.50</x:v>
      </x:c>
      <x:c r="C7" s="20" t="str">
        <x:v>0.45–0.80</x:v>
      </x:c>
      <x:c r="D7" s="20" t="str">
        <x:v>0.60–0.90</x:v>
      </x:c>
      <x:c r="E7" s="20" t="str">
        <x:v>High-solar scenario</x:v>
      </x:c>
    </x:row>
    <x:row r="8">
      <x:c r="A8" s="20" t="str">
        <x:v>Solar Output / Installed PV</x:v>
      </x:c>
      <x:c r="B8" s="20" t="str">
        <x:v>0.75–0.95</x:v>
      </x:c>
      <x:c r="C8" s="20" t="str">
        <x:v>0.75–0.95</x:v>
      </x:c>
      <x:c r="D8" s="20" t="str">
        <x:v>0.75–0.95</x:v>
      </x:c>
      <x:c r="E8" s="20" t="str">
        <x:v>High-solar scenario</x:v>
      </x:c>
    </x:row>
    <x:row r="9">
      <x:c r="A9" s="20" t="str">
        <x:v>Single/Three Phase Rule</x:v>
      </x:c>
      <x:c r="B9" s="20" t="str">
        <x:v>≤ 6 kW =&gt; Single Phase</x:v>
      </x:c>
      <x:c r="C9" s="20" t="str">
        <x:v>&gt; 6 kW =&gt; Three Phase</x:v>
      </x:c>
      <x:c r="D9" s="20" t="str">
        <x:v>&gt; 6 kW =&gt; Three Phase</x:v>
      </x:c>
      <x:c r="E9" s="20" t="str">
        <x:v>Study rule based on prior locked assumption</x:v>
      </x:c>
    </x:row>
    <x:row r="10">
      <x:c r="A10" s="20" t="str">
        <x:v>Preferred DT loading target</x:v>
      </x:c>
      <x:c r="B10" s="20" t="str">
        <x:v>90%</x:v>
      </x:c>
      <x:c r="C10" s="20" t="str"/>
      <x:c r="D10" s="20" t="str"/>
      <x:c r="E10" s="20" t="str">
        <x:v>Modelling target, not regulatory limit</x:v>
      </x:c>
    </x:row>
    <x:row r="11">
      <x:c r="A11" s="20" t="str">
        <x:v>Hard DT capacity limit</x:v>
      </x:c>
      <x:c r="B11" s="20" t="str">
        <x:v>100%</x:v>
      </x:c>
      <x:c r="C11" s="20" t="str"/>
      <x:c r="D11" s="20" t="str"/>
      <x:c r="E11" s="20" t="str">
        <x:v>Base optimization constraint</x:v>
      </x:c>
    </x:row>
    <x:row r="12">
      <x:c r="A12" s="20" t="str">
        <x:v>Maximum DT transfers</x:v>
      </x:c>
      <x:c r="B12" s="20" t="str">
        <x:v>20</x:v>
      </x:c>
      <x:c r="C12" s="20" t="str"/>
      <x:c r="D12" s="20" t="str"/>
      <x:c r="E12" s="20" t="str">
        <x:v>Base modelling assumption</x:v>
      </x:c>
    </x:row>
    <x:row r="13">
      <x:c r="A13" s="20" t="str">
        <x:v>Maximum same-DT phase changes</x:v>
      </x:c>
      <x:c r="B13" s="20" t="str">
        <x:v>25</x:v>
      </x:c>
      <x:c r="C13" s="20" t="str"/>
      <x:c r="D13" s="20" t="str"/>
      <x:c r="E13" s="20" t="str">
        <x:v>Base modelling assumption</x:v>
      </x:c>
    </x:row>
    <x:row r="14">
      <x:c r="A14" s="20" t="str">
        <x:v>Dataset random seed</x:v>
      </x:c>
      <x:c r="B14" s="20" t="str">
        <x:v>1955</x:v>
      </x:c>
      <x:c r="C14" s="20" t="str"/>
      <x:c r="D14" s="20" t="str"/>
      <x:c r="E14" s="20" t="str">
        <x:v>Fixed for reproducibility</x:v>
      </x:c>
    </x:row>
  </x:sheetData>
  <x:pageMargins left="0.7" right="0.7" top="0.75" bottom="0.75" header="0.3" footer="0.3"/>
</x:worksheet>
</file>